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J:\ITVEDANT\EXCEL\"/>
    </mc:Choice>
  </mc:AlternateContent>
  <xr:revisionPtr revIDLastSave="0" documentId="13_ncr:1_{2641D18A-60E5-4A5B-85BD-28BC8E25ADFC}" xr6:coauthVersionLast="47" xr6:coauthVersionMax="47" xr10:uidLastSave="{00000000-0000-0000-0000-000000000000}"/>
  <bookViews>
    <workbookView xWindow="-110" yWindow="-110" windowWidth="19420" windowHeight="11020" activeTab="2" xr2:uid="{00000000-000D-0000-FFFF-FFFF00000000}"/>
  </bookViews>
  <sheets>
    <sheet name="Data" sheetId="1" r:id="rId1"/>
    <sheet name="Sheet_design" sheetId="21" r:id="rId2"/>
    <sheet name="DASHBOARD" sheetId="11" r:id="rId3"/>
    <sheet name="Sheet4" sheetId="16" r:id="rId4"/>
    <sheet name="Sheet6" sheetId="18" r:id="rId5"/>
    <sheet name="Sheet7" sheetId="19" r:id="rId6"/>
  </sheets>
  <definedNames>
    <definedName name="Slicer_AMC">#N/A</definedName>
    <definedName name="Slicer_Fund_Manager">#N/A</definedName>
    <definedName name="Slicer_Fund_Type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2" i="1"/>
  <c r="D6" i="16"/>
  <c r="B6" i="16"/>
  <c r="A6" i="16"/>
  <c r="C6" i="16"/>
</calcChain>
</file>

<file path=xl/sharedStrings.xml><?xml version="1.0" encoding="utf-8"?>
<sst xmlns="http://schemas.openxmlformats.org/spreadsheetml/2006/main" count="2262" uniqueCount="54">
  <si>
    <t>Fund Name</t>
  </si>
  <si>
    <t>Fund Type</t>
  </si>
  <si>
    <t>AMC</t>
  </si>
  <si>
    <t>Fund Manager</t>
  </si>
  <si>
    <t>SIP Start Date</t>
  </si>
  <si>
    <t>Current NAV</t>
  </si>
  <si>
    <t>Canara Robeco Emerging Equities</t>
  </si>
  <si>
    <t>Parag Parikh Flexi Cap</t>
  </si>
  <si>
    <t>ICICI Prudential Equity &amp; Debt</t>
  </si>
  <si>
    <t>UTI Flexi Cap Fund</t>
  </si>
  <si>
    <t>SBI Equity Hybrid Fund</t>
  </si>
  <si>
    <t>Mirae Asset Emerging Bluechip</t>
  </si>
  <si>
    <t>HDFC Balanced Advantage</t>
  </si>
  <si>
    <t>Nippon India Small Cap</t>
  </si>
  <si>
    <t>Axis Bluechip Fund</t>
  </si>
  <si>
    <t>Kotak Standard Multicap</t>
  </si>
  <si>
    <t>Hybrid</t>
  </si>
  <si>
    <t>ELSS</t>
  </si>
  <si>
    <t>Equity</t>
  </si>
  <si>
    <t>Balanced</t>
  </si>
  <si>
    <t>Debt</t>
  </si>
  <si>
    <t>HDFC</t>
  </si>
  <si>
    <t>Nippon</t>
  </si>
  <si>
    <t>ICICI</t>
  </si>
  <si>
    <t>UTI</t>
  </si>
  <si>
    <t>Canara</t>
  </si>
  <si>
    <t>SBI</t>
  </si>
  <si>
    <t>Mirae</t>
  </si>
  <si>
    <t>Kotak</t>
  </si>
  <si>
    <t>Axis</t>
  </si>
  <si>
    <t>Parag</t>
  </si>
  <si>
    <t>M. Iyer</t>
  </si>
  <si>
    <t>R. Desai</t>
  </si>
  <si>
    <t>P. Gupta</t>
  </si>
  <si>
    <t>A. Mehta</t>
  </si>
  <si>
    <t>S. Sharma</t>
  </si>
  <si>
    <t>L. Banerjee</t>
  </si>
  <si>
    <t xml:space="preserve">Monthly SIP </t>
  </si>
  <si>
    <t xml:space="preserve">Total Invested </t>
  </si>
  <si>
    <t xml:space="preserve">Current Value </t>
  </si>
  <si>
    <t xml:space="preserve">Returns </t>
  </si>
  <si>
    <t xml:space="preserve">Sum of Total Invested </t>
  </si>
  <si>
    <t xml:space="preserve">Sum of Current Value </t>
  </si>
  <si>
    <t xml:space="preserve">Average of Returns </t>
  </si>
  <si>
    <t>Count of Fund Name</t>
  </si>
  <si>
    <t>Row Labels</t>
  </si>
  <si>
    <t>Grand Total</t>
  </si>
  <si>
    <t xml:space="preserve">Sum of Monthly SIP </t>
  </si>
  <si>
    <t>2020</t>
  </si>
  <si>
    <t>2021</t>
  </si>
  <si>
    <t>2022</t>
  </si>
  <si>
    <t>2023</t>
  </si>
  <si>
    <t>2024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</si>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</sst>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_ [$₹-4009]\ * #,##0.00_ ;_ [$₹-4009]\ * \-#,##0.00_ ;_ [$₹-4009]\ * &quot;-&quot;??_ ;_ @_ "/>
    <numFmt numFmtId="166" formatCode="&quot;$&quot;#,##0.00"/>
  </numFmts>
  <fonts count="3" x14ac:knownFonts="1">
    <font>
      <sz val="11"/>
      <color theme="1"/>
      <name val="Calibri"/>
      <family val="2"/>
      <scheme val="minor"/>
    </font>
    <font>
      <b/>
      <sz val="11"/>
      <color theme="1"/>
      <name val="Calibri"/>
      <family val="2"/>
      <scheme val="minor"/>
    </font>
    <font>
      <sz val="11"/>
      <color theme="2" tint="-0.249977111117893"/>
      <name val="Calibri"/>
      <family val="2"/>
      <scheme val="minor"/>
    </font>
  </fonts>
  <fills count="3">
    <fill>
      <patternFill patternType="none"/>
    </fill>
    <fill>
      <patternFill patternType="gray125"/>
    </fill>
    <fill>
      <patternFill patternType="solid">
        <fgColor rgb="FFF5F5F5"/>
        <bgColor indexed="64"/>
      </patternFill>
    </fill>
  </fills>
  <borders count="10">
    <border>
      <left/>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164" fontId="0" fillId="0" borderId="0" xfId="0" applyNumberFormat="1"/>
    <xf numFmtId="10"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xf numFmtId="0" fontId="0" fillId="0" borderId="0" xfId="0" pivotButton="1"/>
    <xf numFmtId="0" fontId="0" fillId="0" borderId="0" xfId="0" applyAlignment="1">
      <alignment horizontal="left"/>
    </xf>
    <xf numFmtId="0" fontId="2" fillId="2" borderId="3" xfId="0" applyFont="1" applyFill="1" applyBorder="1"/>
    <xf numFmtId="0" fontId="2" fillId="2" borderId="2" xfId="0" applyFont="1" applyFill="1" applyBorder="1"/>
    <xf numFmtId="0" fontId="2" fillId="2" borderId="4" xfId="0" applyFont="1" applyFill="1" applyBorder="1"/>
    <xf numFmtId="0" fontId="2" fillId="2" borderId="5" xfId="0" applyFont="1" applyFill="1" applyBorder="1"/>
    <xf numFmtId="0" fontId="2" fillId="2" borderId="0" xfId="0" applyFont="1" applyFill="1"/>
    <xf numFmtId="0" fontId="2" fillId="2" borderId="6" xfId="0" applyFont="1" applyFill="1" applyBorder="1"/>
    <xf numFmtId="0" fontId="2" fillId="2" borderId="7" xfId="0" applyFont="1" applyFill="1" applyBorder="1"/>
    <xf numFmtId="0" fontId="2" fillId="2" borderId="8" xfId="0" applyFont="1" applyFill="1" applyBorder="1"/>
    <xf numFmtId="0" fontId="2" fillId="2" borderId="9" xfId="0" applyFont="1" applyFill="1" applyBorder="1"/>
    <xf numFmtId="0" fontId="0" fillId="0" borderId="0" xfId="0" applyNumberFormat="1"/>
  </cellXfs>
  <cellStyles count="1">
    <cellStyle name="Normal" xfId="0" builtinId="0"/>
  </cellStyles>
  <dxfs count="13">
    <dxf>
      <numFmt numFmtId="14" formatCode="0.0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4" defaultTableStyle="TableStyleMedium9" defaultPivotStyle="PivotStyleLight16">
    <tableStyle name="Slicer Style 1" pivot="0" table="0" count="1" xr9:uid="{5BA247E3-4DDE-4048-8A79-2E7B4A3BAF24}">
      <tableStyleElement type="wholeTable" dxfId="12"/>
    </tableStyle>
    <tableStyle name="Slicer Style 2" pivot="0" table="0" count="1" xr9:uid="{076B3EFB-7AA0-44AD-A491-EBC7E3BFF827}">
      <tableStyleElement type="wholeTable" dxfId="11"/>
    </tableStyle>
    <tableStyle name="Slicer Style 3" pivot="0" table="0" count="1" xr9:uid="{D8587CFA-53AC-43F1-97D7-A69C4CE7CC68}">
      <tableStyleElement type="wholeTable" dxfId="10"/>
    </tableStyle>
    <tableStyle name="Slicer Style 4" pivot="0" table="0" count="1" xr9:uid="{CCE995E1-4B10-4FF1-8AAD-68FF218AA246}">
      <tableStyleElement type="wholeTable" dxfId="9"/>
    </tableStyle>
  </tableStyles>
  <colors>
    <mruColors>
      <color rgb="FF2C568E"/>
      <color rgb="FFD9D9D9"/>
      <color rgb="FFF5F5F5"/>
      <color rgb="FFEFEFEF"/>
      <color rgb="FFFAFAFA"/>
      <color rgb="FF0D5B0F"/>
    </mruColors>
  </colors>
  <extLst>
    <ext xmlns:x14="http://schemas.microsoft.com/office/spreadsheetml/2009/9/main" uri="{EB79DEF2-80B8-43e5-95BD-54CBDDF9020C}">
      <x14:slicerStyles defaultSlicerStyle="Slicer Style 4">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[Mutual_Fund_Investment_Tracking_System.xlsx]Sheet6!PivotTable5</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SIP Contribution Trend</a:t>
            </a:r>
            <a:endParaRPr lang="en-US"/>
          </a:p>
        </c:rich>
      </c:tx>
      <c:layout>
        <c:manualLayout>
          <c:xMode val="edge"/>
          <c:yMode val="edge"/>
          <c:x val="2.861789151356081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6"/>
        <c:spPr>
          <a:ln w="28575" cap="rnd">
            <a:solidFill>
              <a:schemeClr val="accent1"/>
            </a:solidFill>
            <a:round/>
          </a:ln>
          <a:effectLst/>
        </c:spPr>
        <c:marker>
          <c:symbol val="none"/>
        </c:marker>
        <c:dLbl>
          <c:idx val="0"/>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dLbls>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2">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2022</c:v>
                </c:pt>
                <c:pt idx="1">
                  <c:v>2021</c:v>
                </c:pt>
                <c:pt idx="2">
                  <c:v>2023</c:v>
                </c:pt>
                <c:pt idx="3">
                  <c:v>2020</c:v>
                </c:pt>
                <c:pt idx="4">
                  <c:v>2024</c:v>
                </c:pt>
              </c:strCache>
            </c:strRef>
          </c:cat>
          <c:val>
            <c:numRef>
              <c:f>Sheet6!$B$4:$B$9</c:f>
              <c:numCache>
                <c:formatCode>_ [$₹-4009]\ * #,##0.00_ ;_ [$₹-4009]\ * \-#,##0.00_ ;_ [$₹-4009]\ * "-"??_ ;_ @_ </c:formatCode>
                <c:ptCount val="5"/>
                <c:pt idx="0">
                  <c:v>244000</c:v>
                </c:pt>
                <c:pt idx="1">
                  <c:v>240500</c:v>
                </c:pt>
                <c:pt idx="2">
                  <c:v>226500</c:v>
                </c:pt>
                <c:pt idx="3">
                  <c:v>195500</c:v>
                </c:pt>
                <c:pt idx="4">
                  <c:v>22500</c:v>
                </c:pt>
              </c:numCache>
            </c:numRef>
          </c:val>
          <c:smooth val="0"/>
          <c:extLst>
            <c:ext xmlns:c16="http://schemas.microsoft.com/office/drawing/2014/chart" uri="{C3380CC4-5D6E-409C-BE32-E72D297353CC}">
              <c16:uniqueId val="{00000000-3255-45B6-AB1A-6838BC7AA882}"/>
            </c:ext>
          </c:extLst>
        </c:ser>
        <c:dLbls>
          <c:showLegendKey val="0"/>
          <c:showVal val="1"/>
          <c:showCatName val="0"/>
          <c:showSerName val="0"/>
          <c:showPercent val="0"/>
          <c:showBubbleSize val="0"/>
        </c:dLbls>
        <c:smooth val="0"/>
        <c:axId val="1909821328"/>
        <c:axId val="1909819408"/>
      </c:lineChart>
      <c:catAx>
        <c:axId val="190982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19408"/>
        <c:crosses val="autoZero"/>
        <c:auto val="1"/>
        <c:lblAlgn val="ctr"/>
        <c:lblOffset val="100"/>
        <c:noMultiLvlLbl val="0"/>
      </c:catAx>
      <c:valAx>
        <c:axId val="1909819408"/>
        <c:scaling>
          <c:orientation val="minMax"/>
        </c:scaling>
        <c:delete val="0"/>
        <c:axPos val="l"/>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2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3 Fund Type by Returns</a:t>
            </a:r>
            <a:endParaRPr lang="en-IN"/>
          </a:p>
        </c:rich>
      </c:tx>
      <c:layout>
        <c:manualLayout>
          <c:xMode val="edge"/>
          <c:yMode val="edge"/>
          <c:x val="3.028455818022746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7222222222222224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9444444444444545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611111111111116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9.7222222222222224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444444444444545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611111111111116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9.7222222222222224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9.7222222222222224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611111111111116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s>
    <c:plotArea>
      <c:layout/>
      <c:doughnutChart>
        <c:varyColors val="1"/>
        <c:ser>
          <c:idx val="0"/>
          <c:order val="0"/>
          <c:tx>
            <c:strRef>
              <c:f>Sheet6!$B$16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A1F-4F74-9FE2-A8056E89C9C0}"/>
              </c:ext>
            </c:extLst>
          </c:dPt>
          <c:dPt>
            <c:idx val="1"/>
            <c:bubble3D val="0"/>
            <c:spPr>
              <a:solidFill>
                <a:schemeClr val="accent2"/>
              </a:solidFill>
              <a:ln>
                <a:noFill/>
              </a:ln>
              <a:effectLst/>
            </c:spPr>
            <c:extLst>
              <c:ext xmlns:c16="http://schemas.microsoft.com/office/drawing/2014/chart" uri="{C3380CC4-5D6E-409C-BE32-E72D297353CC}">
                <c16:uniqueId val="{00000003-3A1F-4F74-9FE2-A8056E89C9C0}"/>
              </c:ext>
            </c:extLst>
          </c:dPt>
          <c:dPt>
            <c:idx val="2"/>
            <c:bubble3D val="0"/>
            <c:spPr>
              <a:solidFill>
                <a:schemeClr val="accent3"/>
              </a:solidFill>
              <a:ln>
                <a:noFill/>
              </a:ln>
              <a:effectLst/>
            </c:spPr>
            <c:extLst>
              <c:ext xmlns:c16="http://schemas.microsoft.com/office/drawing/2014/chart" uri="{C3380CC4-5D6E-409C-BE32-E72D297353CC}">
                <c16:uniqueId val="{00000005-3A1F-4F74-9FE2-A8056E89C9C0}"/>
              </c:ext>
            </c:extLst>
          </c:dPt>
          <c:dPt>
            <c:idx val="3"/>
            <c:bubble3D val="0"/>
            <c:spPr>
              <a:solidFill>
                <a:schemeClr val="accent4"/>
              </a:solidFill>
              <a:ln>
                <a:noFill/>
              </a:ln>
              <a:effectLst/>
            </c:spPr>
            <c:extLst>
              <c:ext xmlns:c16="http://schemas.microsoft.com/office/drawing/2014/chart" uri="{C3380CC4-5D6E-409C-BE32-E72D297353CC}">
                <c16:uniqueId val="{00000007-3D8E-45BB-8081-8A5F081AD289}"/>
              </c:ext>
            </c:extLst>
          </c:dPt>
          <c:dPt>
            <c:idx val="4"/>
            <c:bubble3D val="0"/>
            <c:spPr>
              <a:solidFill>
                <a:schemeClr val="accent5"/>
              </a:solidFill>
              <a:ln>
                <a:noFill/>
              </a:ln>
              <a:effectLst/>
            </c:spPr>
            <c:extLst>
              <c:ext xmlns:c16="http://schemas.microsoft.com/office/drawing/2014/chart" uri="{C3380CC4-5D6E-409C-BE32-E72D297353CC}">
                <c16:uniqueId val="{00000009-3D8E-45BB-8081-8A5F081AD289}"/>
              </c:ext>
            </c:extLst>
          </c:dPt>
          <c:dLbls>
            <c:dLbl>
              <c:idx val="0"/>
              <c:layout>
                <c:manualLayout>
                  <c:x val="9.7222222222222224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1F-4F74-9FE2-A8056E89C9C0}"/>
                </c:ext>
              </c:extLst>
            </c:dLbl>
            <c:dLbl>
              <c:idx val="2"/>
              <c:layout>
                <c:manualLayout>
                  <c:x val="9.7222222222222224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1F-4F74-9FE2-A8056E89C9C0}"/>
                </c:ext>
              </c:extLst>
            </c:dLbl>
            <c:dLbl>
              <c:idx val="3"/>
              <c:layout>
                <c:manualLayout>
                  <c:x val="-8.6111111111111166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8E-45BB-8081-8A5F081AD2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Sheet6!$A$17:$A$22</c:f>
              <c:strCache>
                <c:ptCount val="5"/>
                <c:pt idx="0">
                  <c:v>Balanced</c:v>
                </c:pt>
                <c:pt idx="1">
                  <c:v>Debt</c:v>
                </c:pt>
                <c:pt idx="2">
                  <c:v>ELSS</c:v>
                </c:pt>
                <c:pt idx="3">
                  <c:v>Equity</c:v>
                </c:pt>
                <c:pt idx="4">
                  <c:v>Hybrid</c:v>
                </c:pt>
              </c:strCache>
            </c:strRef>
          </c:cat>
          <c:val>
            <c:numRef>
              <c:f>Sheet6!$B$17:$B$22</c:f>
              <c:numCache>
                <c:formatCode>0.00%</c:formatCode>
                <c:ptCount val="5"/>
                <c:pt idx="0">
                  <c:v>0.20863621167202759</c:v>
                </c:pt>
                <c:pt idx="1">
                  <c:v>0.1859512586464403</c:v>
                </c:pt>
                <c:pt idx="2">
                  <c:v>0.22259963587061449</c:v>
                </c:pt>
                <c:pt idx="3">
                  <c:v>0.24238002248624108</c:v>
                </c:pt>
                <c:pt idx="4">
                  <c:v>0.18223024661741333</c:v>
                </c:pt>
              </c:numCache>
            </c:numRef>
          </c:val>
          <c:extLst>
            <c:ext xmlns:c16="http://schemas.microsoft.com/office/drawing/2014/chart" uri="{C3380CC4-5D6E-409C-BE32-E72D297353CC}">
              <c16:uniqueId val="{00000006-3A1F-4F74-9FE2-A8056E89C9C0}"/>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Investment</a:t>
            </a:r>
            <a:r>
              <a:rPr lang="en-IN" baseline="0"/>
              <a:t> Vs Current Vlaue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Sheet6!$L$5</c:f>
              <c:strCache>
                <c:ptCount val="1"/>
                <c:pt idx="0">
                  <c:v>Sum of Total Invested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Sheet6!$K$6:$K$14</c:f>
              <c:strCache>
                <c:ptCount val="8"/>
                <c:pt idx="0">
                  <c:v>HDFC</c:v>
                </c:pt>
                <c:pt idx="1">
                  <c:v>ICICI</c:v>
                </c:pt>
                <c:pt idx="2">
                  <c:v>Kotak</c:v>
                </c:pt>
                <c:pt idx="3">
                  <c:v>Mirae</c:v>
                </c:pt>
                <c:pt idx="4">
                  <c:v>Nippon</c:v>
                </c:pt>
                <c:pt idx="5">
                  <c:v>Parag</c:v>
                </c:pt>
                <c:pt idx="6">
                  <c:v>SBI</c:v>
                </c:pt>
                <c:pt idx="7">
                  <c:v>UTI</c:v>
                </c:pt>
              </c:strCache>
            </c:strRef>
          </c:cat>
          <c:val>
            <c:numRef>
              <c:f>Sheet6!$L$6:$L$14</c:f>
              <c:numCache>
                <c:formatCode>_ [$₹-4009]\ * #,##0.00_ ;_ [$₹-4009]\ * \-#,##0.00_ ;_ [$₹-4009]\ * "-"??_ ;_ @_ </c:formatCode>
                <c:ptCount val="8"/>
                <c:pt idx="0">
                  <c:v>3962500</c:v>
                </c:pt>
                <c:pt idx="1">
                  <c:v>4627000</c:v>
                </c:pt>
                <c:pt idx="2">
                  <c:v>4217000</c:v>
                </c:pt>
                <c:pt idx="3">
                  <c:v>4097500</c:v>
                </c:pt>
                <c:pt idx="4">
                  <c:v>3317000</c:v>
                </c:pt>
                <c:pt idx="5">
                  <c:v>4017000</c:v>
                </c:pt>
                <c:pt idx="6">
                  <c:v>4255500</c:v>
                </c:pt>
                <c:pt idx="7">
                  <c:v>4036000</c:v>
                </c:pt>
              </c:numCache>
            </c:numRef>
          </c:val>
          <c:smooth val="0"/>
          <c:extLst>
            <c:ext xmlns:c16="http://schemas.microsoft.com/office/drawing/2014/chart" uri="{C3380CC4-5D6E-409C-BE32-E72D297353CC}">
              <c16:uniqueId val="{00000000-54AC-411A-88EC-358000FCD8E8}"/>
            </c:ext>
          </c:extLst>
        </c:ser>
        <c:ser>
          <c:idx val="1"/>
          <c:order val="1"/>
          <c:tx>
            <c:strRef>
              <c:f>Sheet6!$M$5</c:f>
              <c:strCache>
                <c:ptCount val="1"/>
                <c:pt idx="0">
                  <c:v>Sum of Current Value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Sheet6!$K$6:$K$14</c:f>
              <c:strCache>
                <c:ptCount val="8"/>
                <c:pt idx="0">
                  <c:v>HDFC</c:v>
                </c:pt>
                <c:pt idx="1">
                  <c:v>ICICI</c:v>
                </c:pt>
                <c:pt idx="2">
                  <c:v>Kotak</c:v>
                </c:pt>
                <c:pt idx="3">
                  <c:v>Mirae</c:v>
                </c:pt>
                <c:pt idx="4">
                  <c:v>Nippon</c:v>
                </c:pt>
                <c:pt idx="5">
                  <c:v>Parag</c:v>
                </c:pt>
                <c:pt idx="6">
                  <c:v>SBI</c:v>
                </c:pt>
                <c:pt idx="7">
                  <c:v>UTI</c:v>
                </c:pt>
              </c:strCache>
            </c:strRef>
          </c:cat>
          <c:val>
            <c:numRef>
              <c:f>Sheet6!$M$6:$M$14</c:f>
              <c:numCache>
                <c:formatCode>_ [$₹-4009]\ * #,##0.00_ ;_ [$₹-4009]\ * \-#,##0.00_ ;_ [$₹-4009]\ * "-"??_ ;_ @_ </c:formatCode>
                <c:ptCount val="8"/>
                <c:pt idx="0">
                  <c:v>4604427.9799999995</c:v>
                </c:pt>
                <c:pt idx="1">
                  <c:v>5910039.4399999985</c:v>
                </c:pt>
                <c:pt idx="2">
                  <c:v>5026802.4500000011</c:v>
                </c:pt>
                <c:pt idx="3">
                  <c:v>4883134.2799999993</c:v>
                </c:pt>
                <c:pt idx="4">
                  <c:v>4140725.11</c:v>
                </c:pt>
                <c:pt idx="5">
                  <c:v>5077763.370000001</c:v>
                </c:pt>
                <c:pt idx="6">
                  <c:v>5084866.4399999995</c:v>
                </c:pt>
                <c:pt idx="7">
                  <c:v>5035604.08</c:v>
                </c:pt>
              </c:numCache>
            </c:numRef>
          </c:val>
          <c:smooth val="0"/>
          <c:extLst>
            <c:ext xmlns:c16="http://schemas.microsoft.com/office/drawing/2014/chart" uri="{C3380CC4-5D6E-409C-BE32-E72D297353CC}">
              <c16:uniqueId val="{00000001-54AC-411A-88EC-358000FCD8E8}"/>
            </c:ext>
          </c:extLst>
        </c:ser>
        <c:dLbls>
          <c:dLblPos val="t"/>
          <c:showLegendKey val="0"/>
          <c:showVal val="1"/>
          <c:showCatName val="0"/>
          <c:showSerName val="0"/>
          <c:showPercent val="0"/>
          <c:showBubbleSize val="0"/>
        </c:dLbls>
        <c:marker val="1"/>
        <c:smooth val="0"/>
        <c:axId val="158296704"/>
        <c:axId val="158297664"/>
      </c:lineChart>
      <c:catAx>
        <c:axId val="1582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7664"/>
        <c:crosses val="autoZero"/>
        <c:auto val="1"/>
        <c:lblAlgn val="ctr"/>
        <c:lblOffset val="100"/>
        <c:noMultiLvlLbl val="0"/>
      </c:catAx>
      <c:valAx>
        <c:axId val="158297664"/>
        <c:scaling>
          <c:orientation val="minMax"/>
        </c:scaling>
        <c:delete val="0"/>
        <c:axPos val="l"/>
        <c:majorGridlines>
          <c:spPr>
            <a:ln w="9525" cap="flat" cmpd="sng" algn="ctr">
              <a:solidFill>
                <a:schemeClr val="tx1">
                  <a:lumMod val="15000"/>
                  <a:lumOff val="85000"/>
                </a:schemeClr>
              </a:solidFill>
              <a:round/>
            </a:ln>
            <a:effectLst/>
          </c:spPr>
        </c:majorGridlines>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[Mutual_Fund_Investment_Tracking_System.xlsx]Sheet7!PivotTable8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a:t>
            </a:r>
            <a:r>
              <a:rPr lang="en-US" baseline="0"/>
              <a:t> Distribution By Fund Type</a:t>
            </a:r>
            <a:endParaRPr lang="en-US"/>
          </a:p>
        </c:rich>
      </c:tx>
      <c:layout>
        <c:manualLayout>
          <c:xMode val="edge"/>
          <c:yMode val="edge"/>
          <c:x val="1.80763342082239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w="19050">
              <a:solidFill>
                <a:schemeClr val="lt1"/>
              </a:solidFill>
            </a:ln>
            <a:effectLst/>
          </c:spPr>
          <c:invertIfNegative val="0"/>
          <c:dLbls>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Sheet7!$A$4:$A$9</c:f>
              <c:strCache>
                <c:ptCount val="5"/>
                <c:pt idx="0">
                  <c:v>Balanced</c:v>
                </c:pt>
                <c:pt idx="1">
                  <c:v>Debt</c:v>
                </c:pt>
                <c:pt idx="2">
                  <c:v>ELSS</c:v>
                </c:pt>
                <c:pt idx="3">
                  <c:v>Equity</c:v>
                </c:pt>
                <c:pt idx="4">
                  <c:v>Hybrid</c:v>
                </c:pt>
              </c:strCache>
            </c:strRef>
          </c:cat>
          <c:val>
            <c:numRef>
              <c:f>Sheet7!$B$4:$B$9</c:f>
              <c:numCache>
                <c:formatCode>_ [$₹-4009]\ * #,##0.00_ ;_ [$₹-4009]\ * \-#,##0.00_ ;_ [$₹-4009]\ * "-"??_ ;_ @_ </c:formatCode>
                <c:ptCount val="5"/>
                <c:pt idx="0">
                  <c:v>8838000</c:v>
                </c:pt>
                <c:pt idx="1">
                  <c:v>6937000</c:v>
                </c:pt>
                <c:pt idx="2">
                  <c:v>7899500</c:v>
                </c:pt>
                <c:pt idx="3">
                  <c:v>7806000</c:v>
                </c:pt>
                <c:pt idx="4">
                  <c:v>7739500</c:v>
                </c:pt>
              </c:numCache>
            </c:numRef>
          </c:val>
          <c:extLst>
            <c:ext xmlns:c16="http://schemas.microsoft.com/office/drawing/2014/chart" uri="{C3380CC4-5D6E-409C-BE32-E72D297353CC}">
              <c16:uniqueId val="{00000000-1C4D-477B-966A-C0ECAC05BCB9}"/>
            </c:ext>
          </c:extLst>
        </c:ser>
        <c:dLbls>
          <c:showLegendKey val="0"/>
          <c:showVal val="1"/>
          <c:showCatName val="0"/>
          <c:showSerName val="0"/>
          <c:showPercent val="0"/>
          <c:showBubbleSize val="0"/>
        </c:dLbls>
        <c:gapWidth val="150"/>
        <c:axId val="243640144"/>
        <c:axId val="243638704"/>
      </c:barChart>
      <c:catAx>
        <c:axId val="24364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Fund</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638704"/>
        <c:crosses val="autoZero"/>
        <c:auto val="1"/>
        <c:lblAlgn val="ctr"/>
        <c:lblOffset val="100"/>
        <c:noMultiLvlLbl val="0"/>
      </c:catAx>
      <c:valAx>
        <c:axId val="24363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Invested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64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[Mutual_Fund_Investment_Tracking_System.xlsx]Sheet7!PivotTable9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a:t>
            </a:r>
            <a:r>
              <a:rPr lang="en-US" baseline="0"/>
              <a:t> VALUE BY FUND MANAGER</a:t>
            </a:r>
            <a:endParaRPr lang="en-US"/>
          </a:p>
        </c:rich>
      </c:tx>
      <c:layout>
        <c:manualLayout>
          <c:xMode val="edge"/>
          <c:yMode val="edge"/>
          <c:x val="2.880555555555556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Sheet7!$B$15</c:f>
              <c:strCache>
                <c:ptCount val="1"/>
                <c:pt idx="0">
                  <c:v>Total</c:v>
                </c:pt>
              </c:strCache>
            </c:strRef>
          </c:tx>
          <c:spPr>
            <a:solidFill>
              <a:schemeClr val="accent1"/>
            </a:solidFill>
            <a:ln>
              <a:noFill/>
            </a:ln>
            <a:effectLst/>
          </c:spPr>
          <c:invertIfNegative val="0"/>
          <c:cat>
            <c:strRef>
              <c:f>Sheet7!$A$16:$A$22</c:f>
              <c:strCache>
                <c:ptCount val="6"/>
                <c:pt idx="0">
                  <c:v>A. Mehta</c:v>
                </c:pt>
                <c:pt idx="1">
                  <c:v>L. Banerjee</c:v>
                </c:pt>
                <c:pt idx="2">
                  <c:v>M. Iyer</c:v>
                </c:pt>
                <c:pt idx="3">
                  <c:v>P. Gupta</c:v>
                </c:pt>
                <c:pt idx="4">
                  <c:v>R. Desai</c:v>
                </c:pt>
                <c:pt idx="5">
                  <c:v>S. Sharma</c:v>
                </c:pt>
              </c:strCache>
            </c:strRef>
          </c:cat>
          <c:val>
            <c:numRef>
              <c:f>Sheet7!$B$16:$B$22</c:f>
              <c:numCache>
                <c:formatCode>_ [$₹-4009]\ * #,##0.00_ ;_ [$₹-4009]\ * \-#,##0.00_ ;_ [$₹-4009]\ * "-"??_ ;_ @_ </c:formatCode>
                <c:ptCount val="6"/>
                <c:pt idx="0">
                  <c:v>6899206.5399999982</c:v>
                </c:pt>
                <c:pt idx="1">
                  <c:v>8233584.7599999979</c:v>
                </c:pt>
                <c:pt idx="2">
                  <c:v>7471380.3999999994</c:v>
                </c:pt>
                <c:pt idx="3">
                  <c:v>7883393.5999999978</c:v>
                </c:pt>
                <c:pt idx="4">
                  <c:v>8833697.2300000004</c:v>
                </c:pt>
                <c:pt idx="5">
                  <c:v>8651228.8299999963</c:v>
                </c:pt>
              </c:numCache>
            </c:numRef>
          </c:val>
          <c:extLst>
            <c:ext xmlns:c16="http://schemas.microsoft.com/office/drawing/2014/chart" uri="{C3380CC4-5D6E-409C-BE32-E72D297353CC}">
              <c16:uniqueId val="{00000000-059E-40DD-B521-0F25969DD255}"/>
            </c:ext>
          </c:extLst>
        </c:ser>
        <c:dLbls>
          <c:showLegendKey val="0"/>
          <c:showVal val="0"/>
          <c:showCatName val="0"/>
          <c:showSerName val="0"/>
          <c:showPercent val="0"/>
          <c:showBubbleSize val="0"/>
        </c:dLbls>
        <c:gapWidth val="182"/>
        <c:axId val="114714096"/>
        <c:axId val="114716016"/>
      </c:barChart>
      <c:catAx>
        <c:axId val="11471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6016"/>
        <c:crosses val="autoZero"/>
        <c:auto val="1"/>
        <c:lblAlgn val="ctr"/>
        <c:lblOffset val="100"/>
        <c:noMultiLvlLbl val="0"/>
      </c:catAx>
      <c:valAx>
        <c:axId val="114716016"/>
        <c:scaling>
          <c:orientation val="minMax"/>
        </c:scaling>
        <c:delete val="0"/>
        <c:axPos val="b"/>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7222222222222224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9444444444444545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8.611111111111116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9.7222222222222224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444444444444545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611111111111116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1793345162168095"/>
              <c:y val="-2.782673994219759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9444423735700093E-2"/>
              <c:y val="0.1386438977273260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12740009169832"/>
              <c:y val="5.437920123323338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9.1721617319799761E-2"/>
              <c:y val="0.1374186714103159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3905799109607828"/>
              <c:y val="-3.705358502450876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67566762614243"/>
          <c:y val="0.1069275240240876"/>
          <c:w val="0.43686296239931799"/>
          <c:h val="0.69513122719132281"/>
        </c:manualLayout>
      </c:layout>
      <c:doughnutChart>
        <c:varyColors val="1"/>
        <c:ser>
          <c:idx val="0"/>
          <c:order val="0"/>
          <c:tx>
            <c:strRef>
              <c:f>Sheet6!$B$16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BFB-4560-A7AF-13393FE9B69C}"/>
              </c:ext>
            </c:extLst>
          </c:dPt>
          <c:dPt>
            <c:idx val="1"/>
            <c:bubble3D val="0"/>
            <c:spPr>
              <a:solidFill>
                <a:schemeClr val="accent2"/>
              </a:solidFill>
              <a:ln>
                <a:noFill/>
              </a:ln>
              <a:effectLst/>
            </c:spPr>
            <c:extLst>
              <c:ext xmlns:c16="http://schemas.microsoft.com/office/drawing/2014/chart" uri="{C3380CC4-5D6E-409C-BE32-E72D297353CC}">
                <c16:uniqueId val="{00000003-3BFB-4560-A7AF-13393FE9B69C}"/>
              </c:ext>
            </c:extLst>
          </c:dPt>
          <c:dPt>
            <c:idx val="2"/>
            <c:bubble3D val="0"/>
            <c:spPr>
              <a:solidFill>
                <a:schemeClr val="accent3"/>
              </a:solidFill>
              <a:ln>
                <a:noFill/>
              </a:ln>
              <a:effectLst/>
            </c:spPr>
            <c:extLst>
              <c:ext xmlns:c16="http://schemas.microsoft.com/office/drawing/2014/chart" uri="{C3380CC4-5D6E-409C-BE32-E72D297353CC}">
                <c16:uniqueId val="{00000005-3BFB-4560-A7AF-13393FE9B69C}"/>
              </c:ext>
            </c:extLst>
          </c:dPt>
          <c:dPt>
            <c:idx val="3"/>
            <c:bubble3D val="0"/>
            <c:spPr>
              <a:solidFill>
                <a:schemeClr val="accent4"/>
              </a:solidFill>
              <a:ln>
                <a:noFill/>
              </a:ln>
              <a:effectLst/>
            </c:spPr>
            <c:extLst>
              <c:ext xmlns:c16="http://schemas.microsoft.com/office/drawing/2014/chart" uri="{C3380CC4-5D6E-409C-BE32-E72D297353CC}">
                <c16:uniqueId val="{00000007-01A1-49E4-8481-D10380C0BF96}"/>
              </c:ext>
            </c:extLst>
          </c:dPt>
          <c:dPt>
            <c:idx val="4"/>
            <c:bubble3D val="0"/>
            <c:spPr>
              <a:solidFill>
                <a:schemeClr val="accent5"/>
              </a:solidFill>
              <a:ln>
                <a:noFill/>
              </a:ln>
              <a:effectLst/>
            </c:spPr>
            <c:extLst>
              <c:ext xmlns:c16="http://schemas.microsoft.com/office/drawing/2014/chart" uri="{C3380CC4-5D6E-409C-BE32-E72D297353CC}">
                <c16:uniqueId val="{00000009-01A1-49E4-8481-D10380C0BF96}"/>
              </c:ext>
            </c:extLst>
          </c:dPt>
          <c:dLbls>
            <c:dLbl>
              <c:idx val="0"/>
              <c:layout>
                <c:manualLayout>
                  <c:x val="0.11793345162168095"/>
                  <c:y val="-2.78267399421975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FB-4560-A7AF-13393FE9B69C}"/>
                </c:ext>
              </c:extLst>
            </c:dLbl>
            <c:dLbl>
              <c:idx val="1"/>
              <c:layout>
                <c:manualLayout>
                  <c:x val="9.1721617319799761E-2"/>
                  <c:y val="0.137418671410315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FB-4560-A7AF-13393FE9B69C}"/>
                </c:ext>
              </c:extLst>
            </c:dLbl>
            <c:dLbl>
              <c:idx val="2"/>
              <c:layout>
                <c:manualLayout>
                  <c:x val="-1.9444423735700093E-2"/>
                  <c:y val="0.138643897727326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FB-4560-A7AF-13393FE9B69C}"/>
                </c:ext>
              </c:extLst>
            </c:dLbl>
            <c:dLbl>
              <c:idx val="3"/>
              <c:layout>
                <c:manualLayout>
                  <c:x val="-0.112740009169832"/>
                  <c:y val="5.4379201233233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A1-49E4-8481-D10380C0BF96}"/>
                </c:ext>
              </c:extLst>
            </c:dLbl>
            <c:dLbl>
              <c:idx val="4"/>
              <c:layout>
                <c:manualLayout>
                  <c:x val="-0.13905799109607828"/>
                  <c:y val="-3.70535850245087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A1-49E4-8481-D10380C0BF9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Sheet6!$A$17:$A$22</c:f>
              <c:strCache>
                <c:ptCount val="5"/>
                <c:pt idx="0">
                  <c:v>Balanced</c:v>
                </c:pt>
                <c:pt idx="1">
                  <c:v>Debt</c:v>
                </c:pt>
                <c:pt idx="2">
                  <c:v>ELSS</c:v>
                </c:pt>
                <c:pt idx="3">
                  <c:v>Equity</c:v>
                </c:pt>
                <c:pt idx="4">
                  <c:v>Hybrid</c:v>
                </c:pt>
              </c:strCache>
            </c:strRef>
          </c:cat>
          <c:val>
            <c:numRef>
              <c:f>Sheet6!$B$17:$B$22</c:f>
              <c:numCache>
                <c:formatCode>0.00%</c:formatCode>
                <c:ptCount val="5"/>
                <c:pt idx="0">
                  <c:v>0.20863621167202759</c:v>
                </c:pt>
                <c:pt idx="1">
                  <c:v>0.1859512586464403</c:v>
                </c:pt>
                <c:pt idx="2">
                  <c:v>0.22259963587061449</c:v>
                </c:pt>
                <c:pt idx="3">
                  <c:v>0.24238002248624108</c:v>
                </c:pt>
                <c:pt idx="4">
                  <c:v>0.18223024661741333</c:v>
                </c:pt>
              </c:numCache>
            </c:numRef>
          </c:val>
          <c:extLst>
            <c:ext xmlns:c16="http://schemas.microsoft.com/office/drawing/2014/chart" uri="{C3380CC4-5D6E-409C-BE32-E72D297353CC}">
              <c16:uniqueId val="{00000006-3BFB-4560-A7AF-13393FE9B69C}"/>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[Mutual_Fund_Investment_Tracking_System.xlsx]Sheet6!PivotTable7</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2C568E"/>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7066364682671"/>
          <c:y val="6.7202431457198591E-2"/>
          <c:w val="0.87000861900814153"/>
          <c:h val="0.6828945093688833"/>
        </c:manualLayout>
      </c:layout>
      <c:lineChart>
        <c:grouping val="stacked"/>
        <c:varyColors val="0"/>
        <c:ser>
          <c:idx val="0"/>
          <c:order val="0"/>
          <c:tx>
            <c:strRef>
              <c:f>Sheet6!$L$5</c:f>
              <c:strCache>
                <c:ptCount val="1"/>
                <c:pt idx="0">
                  <c:v>Sum of Total Invested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Sheet6!$K$6:$K$14</c:f>
              <c:strCache>
                <c:ptCount val="8"/>
                <c:pt idx="0">
                  <c:v>HDFC</c:v>
                </c:pt>
                <c:pt idx="1">
                  <c:v>ICICI</c:v>
                </c:pt>
                <c:pt idx="2">
                  <c:v>Kotak</c:v>
                </c:pt>
                <c:pt idx="3">
                  <c:v>Mirae</c:v>
                </c:pt>
                <c:pt idx="4">
                  <c:v>Nippon</c:v>
                </c:pt>
                <c:pt idx="5">
                  <c:v>Parag</c:v>
                </c:pt>
                <c:pt idx="6">
                  <c:v>SBI</c:v>
                </c:pt>
                <c:pt idx="7">
                  <c:v>UTI</c:v>
                </c:pt>
              </c:strCache>
            </c:strRef>
          </c:cat>
          <c:val>
            <c:numRef>
              <c:f>Sheet6!$L$6:$L$14</c:f>
              <c:numCache>
                <c:formatCode>_ [$₹-4009]\ * #,##0.00_ ;_ [$₹-4009]\ * \-#,##0.00_ ;_ [$₹-4009]\ * "-"??_ ;_ @_ </c:formatCode>
                <c:ptCount val="8"/>
                <c:pt idx="0">
                  <c:v>3962500</c:v>
                </c:pt>
                <c:pt idx="1">
                  <c:v>4627000</c:v>
                </c:pt>
                <c:pt idx="2">
                  <c:v>4217000</c:v>
                </c:pt>
                <c:pt idx="3">
                  <c:v>4097500</c:v>
                </c:pt>
                <c:pt idx="4">
                  <c:v>3317000</c:v>
                </c:pt>
                <c:pt idx="5">
                  <c:v>4017000</c:v>
                </c:pt>
                <c:pt idx="6">
                  <c:v>4255500</c:v>
                </c:pt>
                <c:pt idx="7">
                  <c:v>4036000</c:v>
                </c:pt>
              </c:numCache>
            </c:numRef>
          </c:val>
          <c:smooth val="0"/>
          <c:extLst>
            <c:ext xmlns:c16="http://schemas.microsoft.com/office/drawing/2014/chart" uri="{C3380CC4-5D6E-409C-BE32-E72D297353CC}">
              <c16:uniqueId val="{00000000-AC81-45E1-A66D-4315176042EE}"/>
            </c:ext>
          </c:extLst>
        </c:ser>
        <c:ser>
          <c:idx val="1"/>
          <c:order val="1"/>
          <c:tx>
            <c:strRef>
              <c:f>Sheet6!$M$5</c:f>
              <c:strCache>
                <c:ptCount val="1"/>
                <c:pt idx="0">
                  <c:v>Sum of Current Value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00,,\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2C568E"/>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Sheet6!$K$6:$K$14</c:f>
              <c:strCache>
                <c:ptCount val="8"/>
                <c:pt idx="0">
                  <c:v>HDFC</c:v>
                </c:pt>
                <c:pt idx="1">
                  <c:v>ICICI</c:v>
                </c:pt>
                <c:pt idx="2">
                  <c:v>Kotak</c:v>
                </c:pt>
                <c:pt idx="3">
                  <c:v>Mirae</c:v>
                </c:pt>
                <c:pt idx="4">
                  <c:v>Nippon</c:v>
                </c:pt>
                <c:pt idx="5">
                  <c:v>Parag</c:v>
                </c:pt>
                <c:pt idx="6">
                  <c:v>SBI</c:v>
                </c:pt>
                <c:pt idx="7">
                  <c:v>UTI</c:v>
                </c:pt>
              </c:strCache>
            </c:strRef>
          </c:cat>
          <c:val>
            <c:numRef>
              <c:f>Sheet6!$M$6:$M$14</c:f>
              <c:numCache>
                <c:formatCode>_ [$₹-4009]\ * #,##0.00_ ;_ [$₹-4009]\ * \-#,##0.00_ ;_ [$₹-4009]\ * "-"??_ ;_ @_ </c:formatCode>
                <c:ptCount val="8"/>
                <c:pt idx="0">
                  <c:v>4604427.9799999995</c:v>
                </c:pt>
                <c:pt idx="1">
                  <c:v>5910039.4399999985</c:v>
                </c:pt>
                <c:pt idx="2">
                  <c:v>5026802.4500000011</c:v>
                </c:pt>
                <c:pt idx="3">
                  <c:v>4883134.2799999993</c:v>
                </c:pt>
                <c:pt idx="4">
                  <c:v>4140725.11</c:v>
                </c:pt>
                <c:pt idx="5">
                  <c:v>5077763.370000001</c:v>
                </c:pt>
                <c:pt idx="6">
                  <c:v>5084866.4399999995</c:v>
                </c:pt>
                <c:pt idx="7">
                  <c:v>5035604.08</c:v>
                </c:pt>
              </c:numCache>
            </c:numRef>
          </c:val>
          <c:smooth val="0"/>
          <c:extLst>
            <c:ext xmlns:c16="http://schemas.microsoft.com/office/drawing/2014/chart" uri="{C3380CC4-5D6E-409C-BE32-E72D297353CC}">
              <c16:uniqueId val="{00000001-AC81-45E1-A66D-4315176042EE}"/>
            </c:ext>
          </c:extLst>
        </c:ser>
        <c:dLbls>
          <c:dLblPos val="t"/>
          <c:showLegendKey val="0"/>
          <c:showVal val="1"/>
          <c:showCatName val="0"/>
          <c:showSerName val="0"/>
          <c:showPercent val="0"/>
          <c:showBubbleSize val="0"/>
        </c:dLbls>
        <c:marker val="1"/>
        <c:smooth val="0"/>
        <c:axId val="158296704"/>
        <c:axId val="158297664"/>
      </c:lineChart>
      <c:catAx>
        <c:axId val="1582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8297664"/>
        <c:crosses val="autoZero"/>
        <c:auto val="1"/>
        <c:lblAlgn val="ctr"/>
        <c:lblOffset val="100"/>
        <c:noMultiLvlLbl val="0"/>
      </c:catAx>
      <c:valAx>
        <c:axId val="158297664"/>
        <c:scaling>
          <c:orientation val="minMax"/>
        </c:scaling>
        <c:delete val="0"/>
        <c:axPos val="l"/>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829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[Mutual_Fund_Investment_Tracking_System.xlsx]Sheet6!PivotTable5</c:name>
    <c:fmtId val="42"/>
  </c:pivotSource>
  <c:chart>
    <c:autoTitleDeleted val="1"/>
    <c:pivotFmts>
      <c:pivotFmt>
        <c:idx val="0"/>
        <c:spPr>
          <a:solidFill>
            <a:schemeClr val="accent1"/>
          </a:solidFill>
          <a:ln w="28575" cap="rnd">
            <a:solidFill>
              <a:schemeClr val="accent1"/>
            </a:solidFill>
            <a:round/>
          </a:ln>
          <a:effectLst/>
        </c:spPr>
        <c:marker>
          <c:symbol val="none"/>
        </c:marker>
        <c:dLbl>
          <c:idx val="0"/>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6"/>
        <c:spPr>
          <a:ln w="28575" cap="rnd">
            <a:solidFill>
              <a:schemeClr val="accent1"/>
            </a:solidFill>
            <a:round/>
          </a:ln>
          <a:effectLst/>
        </c:spPr>
        <c:marker>
          <c:symbol val="none"/>
        </c:marker>
        <c:dLbl>
          <c:idx val="0"/>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2C568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dLbls>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2C568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2">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2022</c:v>
                </c:pt>
                <c:pt idx="1">
                  <c:v>2021</c:v>
                </c:pt>
                <c:pt idx="2">
                  <c:v>2023</c:v>
                </c:pt>
                <c:pt idx="3">
                  <c:v>2020</c:v>
                </c:pt>
                <c:pt idx="4">
                  <c:v>2024</c:v>
                </c:pt>
              </c:strCache>
            </c:strRef>
          </c:cat>
          <c:val>
            <c:numRef>
              <c:f>Sheet6!$B$4:$B$9</c:f>
              <c:numCache>
                <c:formatCode>_ [$₹-4009]\ * #,##0.00_ ;_ [$₹-4009]\ * \-#,##0.00_ ;_ [$₹-4009]\ * "-"??_ ;_ @_ </c:formatCode>
                <c:ptCount val="5"/>
                <c:pt idx="0">
                  <c:v>244000</c:v>
                </c:pt>
                <c:pt idx="1">
                  <c:v>240500</c:v>
                </c:pt>
                <c:pt idx="2">
                  <c:v>226500</c:v>
                </c:pt>
                <c:pt idx="3">
                  <c:v>195500</c:v>
                </c:pt>
                <c:pt idx="4">
                  <c:v>22500</c:v>
                </c:pt>
              </c:numCache>
            </c:numRef>
          </c:val>
          <c:smooth val="0"/>
          <c:extLst>
            <c:ext xmlns:c16="http://schemas.microsoft.com/office/drawing/2014/chart" uri="{C3380CC4-5D6E-409C-BE32-E72D297353CC}">
              <c16:uniqueId val="{00000000-2949-4F5C-9965-E635B7E2496A}"/>
            </c:ext>
          </c:extLst>
        </c:ser>
        <c:dLbls>
          <c:showLegendKey val="0"/>
          <c:showVal val="1"/>
          <c:showCatName val="0"/>
          <c:showSerName val="0"/>
          <c:showPercent val="0"/>
          <c:showBubbleSize val="0"/>
        </c:dLbls>
        <c:smooth val="0"/>
        <c:axId val="1909821328"/>
        <c:axId val="1909819408"/>
      </c:lineChart>
      <c:catAx>
        <c:axId val="190982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09819408"/>
        <c:crosses val="autoZero"/>
        <c:auto val="1"/>
        <c:lblAlgn val="ctr"/>
        <c:lblOffset val="100"/>
        <c:noMultiLvlLbl val="0"/>
      </c:catAx>
      <c:valAx>
        <c:axId val="1909819408"/>
        <c:scaling>
          <c:orientation val="minMax"/>
        </c:scaling>
        <c:delete val="0"/>
        <c:axPos val="l"/>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0982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[Mutual_Fund_Investment_Tracking_System.xlsx]Sheet7!PivotTable9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C568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Sheet7!$B$15</c:f>
              <c:strCache>
                <c:ptCount val="1"/>
                <c:pt idx="0">
                  <c:v>Total</c:v>
                </c:pt>
              </c:strCache>
            </c:strRef>
          </c:tx>
          <c:spPr>
            <a:solidFill>
              <a:schemeClr val="accent1"/>
            </a:solidFill>
            <a:ln>
              <a:noFill/>
            </a:ln>
            <a:effectLst/>
          </c:spPr>
          <c:invertIfNegative val="0"/>
          <c:dLbls>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C568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Sheet7!$A$16:$A$22</c:f>
              <c:strCache>
                <c:ptCount val="6"/>
                <c:pt idx="0">
                  <c:v>A. Mehta</c:v>
                </c:pt>
                <c:pt idx="1">
                  <c:v>L. Banerjee</c:v>
                </c:pt>
                <c:pt idx="2">
                  <c:v>M. Iyer</c:v>
                </c:pt>
                <c:pt idx="3">
                  <c:v>P. Gupta</c:v>
                </c:pt>
                <c:pt idx="4">
                  <c:v>R. Desai</c:v>
                </c:pt>
                <c:pt idx="5">
                  <c:v>S. Sharma</c:v>
                </c:pt>
              </c:strCache>
            </c:strRef>
          </c:cat>
          <c:val>
            <c:numRef>
              <c:f>Sheet7!$B$16:$B$22</c:f>
              <c:numCache>
                <c:formatCode>_ [$₹-4009]\ * #,##0.00_ ;_ [$₹-4009]\ * \-#,##0.00_ ;_ [$₹-4009]\ * "-"??_ ;_ @_ </c:formatCode>
                <c:ptCount val="6"/>
                <c:pt idx="0">
                  <c:v>6899206.5399999982</c:v>
                </c:pt>
                <c:pt idx="1">
                  <c:v>8233584.7599999979</c:v>
                </c:pt>
                <c:pt idx="2">
                  <c:v>7471380.3999999994</c:v>
                </c:pt>
                <c:pt idx="3">
                  <c:v>7883393.5999999978</c:v>
                </c:pt>
                <c:pt idx="4">
                  <c:v>8833697.2300000004</c:v>
                </c:pt>
                <c:pt idx="5">
                  <c:v>8651228.8299999963</c:v>
                </c:pt>
              </c:numCache>
            </c:numRef>
          </c:val>
          <c:extLst>
            <c:ext xmlns:c16="http://schemas.microsoft.com/office/drawing/2014/chart" uri="{C3380CC4-5D6E-409C-BE32-E72D297353CC}">
              <c16:uniqueId val="{00000000-1AA6-45F1-BDDE-5625CD128212}"/>
            </c:ext>
          </c:extLst>
        </c:ser>
        <c:dLbls>
          <c:showLegendKey val="0"/>
          <c:showVal val="0"/>
          <c:showCatName val="0"/>
          <c:showSerName val="0"/>
          <c:showPercent val="0"/>
          <c:showBubbleSize val="0"/>
        </c:dLbls>
        <c:gapWidth val="182"/>
        <c:axId val="114714096"/>
        <c:axId val="114716016"/>
      </c:barChart>
      <c:catAx>
        <c:axId val="11471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4716016"/>
        <c:crosses val="autoZero"/>
        <c:auto val="1"/>
        <c:lblAlgn val="ctr"/>
        <c:lblOffset val="100"/>
        <c:noMultiLvlLbl val="0"/>
      </c:catAx>
      <c:valAx>
        <c:axId val="114716016"/>
        <c:scaling>
          <c:orientation val="minMax"/>
        </c:scaling>
        <c:delete val="0"/>
        <c:axPos val="b"/>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[Mutual_Fund_Investment_Tracking_System.xlsx]Sheet7!PivotTable8</c:name>
    <c:fmtId val="3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2C568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w="19050">
              <a:solidFill>
                <a:schemeClr val="lt1"/>
              </a:solidFill>
            </a:ln>
            <a:effectLst/>
          </c:spPr>
          <c:invertIfNegative val="0"/>
          <c:dLbls>
            <c:numFmt formatCode="0.00,,\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2C568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Sheet7!$A$4:$A$9</c:f>
              <c:strCache>
                <c:ptCount val="5"/>
                <c:pt idx="0">
                  <c:v>Balanced</c:v>
                </c:pt>
                <c:pt idx="1">
                  <c:v>Debt</c:v>
                </c:pt>
                <c:pt idx="2">
                  <c:v>ELSS</c:v>
                </c:pt>
                <c:pt idx="3">
                  <c:v>Equity</c:v>
                </c:pt>
                <c:pt idx="4">
                  <c:v>Hybrid</c:v>
                </c:pt>
              </c:strCache>
            </c:strRef>
          </c:cat>
          <c:val>
            <c:numRef>
              <c:f>Sheet7!$B$4:$B$9</c:f>
              <c:numCache>
                <c:formatCode>_ [$₹-4009]\ * #,##0.00_ ;_ [$₹-4009]\ * \-#,##0.00_ ;_ [$₹-4009]\ * "-"??_ ;_ @_ </c:formatCode>
                <c:ptCount val="5"/>
                <c:pt idx="0">
                  <c:v>8838000</c:v>
                </c:pt>
                <c:pt idx="1">
                  <c:v>6937000</c:v>
                </c:pt>
                <c:pt idx="2">
                  <c:v>7899500</c:v>
                </c:pt>
                <c:pt idx="3">
                  <c:v>7806000</c:v>
                </c:pt>
                <c:pt idx="4">
                  <c:v>7739500</c:v>
                </c:pt>
              </c:numCache>
            </c:numRef>
          </c:val>
          <c:extLst>
            <c:ext xmlns:c16="http://schemas.microsoft.com/office/drawing/2014/chart" uri="{C3380CC4-5D6E-409C-BE32-E72D297353CC}">
              <c16:uniqueId val="{00000000-6FD3-4A83-9AE8-649FE1F86445}"/>
            </c:ext>
          </c:extLst>
        </c:ser>
        <c:dLbls>
          <c:showLegendKey val="0"/>
          <c:showVal val="1"/>
          <c:showCatName val="0"/>
          <c:showSerName val="0"/>
          <c:showPercent val="0"/>
          <c:showBubbleSize val="0"/>
        </c:dLbls>
        <c:gapWidth val="150"/>
        <c:axId val="243640144"/>
        <c:axId val="243638704"/>
      </c:barChart>
      <c:catAx>
        <c:axId val="24364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Fund</a:t>
                </a:r>
                <a:r>
                  <a:rPr lang="en-IN" sz="1200" baseline="0"/>
                  <a:t> Type</a:t>
                </a:r>
                <a:endParaRPr lang="en-IN" sz="1200"/>
              </a:p>
            </c:rich>
          </c:tx>
          <c:layout>
            <c:manualLayout>
              <c:xMode val="edge"/>
              <c:yMode val="edge"/>
              <c:x val="0.42348086883637953"/>
              <c:y val="0.871666635333366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43638704"/>
        <c:crosses val="autoZero"/>
        <c:auto val="1"/>
        <c:lblAlgn val="ctr"/>
        <c:lblOffset val="100"/>
        <c:noMultiLvlLbl val="0"/>
      </c:catAx>
      <c:valAx>
        <c:axId val="243638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Total</a:t>
                </a:r>
                <a:r>
                  <a:rPr lang="en-IN" sz="1200" baseline="0"/>
                  <a:t> Invested</a:t>
                </a:r>
                <a:endParaRPr lang="en-IN" sz="1200"/>
              </a:p>
            </c:rich>
          </c:tx>
          <c:layout>
            <c:manualLayout>
              <c:xMode val="edge"/>
              <c:yMode val="edge"/>
              <c:x val="2.0459291533167296E-2"/>
              <c:y val="0.235252270097606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L"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364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SIP Contribution Trend</a:t>
            </a:r>
            <a:endParaRPr lang="en-US"/>
          </a:p>
        </c:rich>
      </c:tx>
      <c:layout>
        <c:manualLayout>
          <c:xMode val="edge"/>
          <c:yMode val="edge"/>
          <c:x val="2.861789151356081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dLbls>
            <c:numFmt formatCode="0.00,,\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2">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2022</c:v>
                </c:pt>
                <c:pt idx="1">
                  <c:v>2021</c:v>
                </c:pt>
                <c:pt idx="2">
                  <c:v>2023</c:v>
                </c:pt>
                <c:pt idx="3">
                  <c:v>2020</c:v>
                </c:pt>
                <c:pt idx="4">
                  <c:v>2024</c:v>
                </c:pt>
              </c:strCache>
            </c:strRef>
          </c:cat>
          <c:val>
            <c:numRef>
              <c:f>Sheet6!$B$4:$B$9</c:f>
              <c:numCache>
                <c:formatCode>_ [$₹-4009]\ * #,##0.00_ ;_ [$₹-4009]\ * \-#,##0.00_ ;_ [$₹-4009]\ * "-"??_ ;_ @_ </c:formatCode>
                <c:ptCount val="5"/>
                <c:pt idx="0">
                  <c:v>244000</c:v>
                </c:pt>
                <c:pt idx="1">
                  <c:v>240500</c:v>
                </c:pt>
                <c:pt idx="2">
                  <c:v>226500</c:v>
                </c:pt>
                <c:pt idx="3">
                  <c:v>195500</c:v>
                </c:pt>
                <c:pt idx="4">
                  <c:v>22500</c:v>
                </c:pt>
              </c:numCache>
            </c:numRef>
          </c:val>
          <c:smooth val="0"/>
          <c:extLst>
            <c:ext xmlns:c16="http://schemas.microsoft.com/office/drawing/2014/chart" uri="{C3380CC4-5D6E-409C-BE32-E72D297353CC}">
              <c16:uniqueId val="{00000000-769A-4BBB-BAE4-997B61C63FFE}"/>
            </c:ext>
          </c:extLst>
        </c:ser>
        <c:dLbls>
          <c:showLegendKey val="0"/>
          <c:showVal val="1"/>
          <c:showCatName val="0"/>
          <c:showSerName val="0"/>
          <c:showPercent val="0"/>
          <c:showBubbleSize val="0"/>
        </c:dLbls>
        <c:smooth val="0"/>
        <c:axId val="1909821328"/>
        <c:axId val="1909819408"/>
      </c:lineChart>
      <c:catAx>
        <c:axId val="190982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19408"/>
        <c:crosses val="autoZero"/>
        <c:auto val="1"/>
        <c:lblAlgn val="ctr"/>
        <c:lblOffset val="100"/>
        <c:noMultiLvlLbl val="0"/>
      </c:catAx>
      <c:valAx>
        <c:axId val="1909819408"/>
        <c:scaling>
          <c:orientation val="minMax"/>
        </c:scaling>
        <c:delete val="0"/>
        <c:axPos val="l"/>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2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3 Fund Type by Returns</a:t>
            </a:r>
            <a:endParaRPr lang="en-IN"/>
          </a:p>
        </c:rich>
      </c:tx>
      <c:layout>
        <c:manualLayout>
          <c:xMode val="edge"/>
          <c:yMode val="edge"/>
          <c:x val="3.028455818022746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7222222222222224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9.7222222222222224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611111111111116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Sheet6!$B$16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C948-4748-8E70-EF50B4D73ECC}"/>
              </c:ext>
            </c:extLst>
          </c:dPt>
          <c:dPt>
            <c:idx val="1"/>
            <c:bubble3D val="0"/>
            <c:spPr>
              <a:solidFill>
                <a:schemeClr val="accent2"/>
              </a:solidFill>
              <a:ln>
                <a:noFill/>
              </a:ln>
              <a:effectLst/>
            </c:spPr>
            <c:extLst>
              <c:ext xmlns:c16="http://schemas.microsoft.com/office/drawing/2014/chart" uri="{C3380CC4-5D6E-409C-BE32-E72D297353CC}">
                <c16:uniqueId val="{00000003-C948-4748-8E70-EF50B4D73ECC}"/>
              </c:ext>
            </c:extLst>
          </c:dPt>
          <c:dPt>
            <c:idx val="2"/>
            <c:bubble3D val="0"/>
            <c:spPr>
              <a:solidFill>
                <a:schemeClr val="accent3"/>
              </a:solidFill>
              <a:ln>
                <a:noFill/>
              </a:ln>
              <a:effectLst/>
            </c:spPr>
            <c:extLst>
              <c:ext xmlns:c16="http://schemas.microsoft.com/office/drawing/2014/chart" uri="{C3380CC4-5D6E-409C-BE32-E72D297353CC}">
                <c16:uniqueId val="{00000004-C948-4748-8E70-EF50B4D73ECC}"/>
              </c:ext>
            </c:extLst>
          </c:dPt>
          <c:dPt>
            <c:idx val="3"/>
            <c:bubble3D val="0"/>
            <c:spPr>
              <a:solidFill>
                <a:schemeClr val="accent4"/>
              </a:solidFill>
              <a:ln>
                <a:noFill/>
              </a:ln>
              <a:effectLst/>
            </c:spPr>
            <c:extLst>
              <c:ext xmlns:c16="http://schemas.microsoft.com/office/drawing/2014/chart" uri="{C3380CC4-5D6E-409C-BE32-E72D297353CC}">
                <c16:uniqueId val="{00000007-2F4A-4B38-8773-E1007656B04E}"/>
              </c:ext>
            </c:extLst>
          </c:dPt>
          <c:dPt>
            <c:idx val="4"/>
            <c:bubble3D val="0"/>
            <c:spPr>
              <a:solidFill>
                <a:schemeClr val="accent5"/>
              </a:solidFill>
              <a:ln>
                <a:noFill/>
              </a:ln>
              <a:effectLst/>
            </c:spPr>
            <c:extLst>
              <c:ext xmlns:c16="http://schemas.microsoft.com/office/drawing/2014/chart" uri="{C3380CC4-5D6E-409C-BE32-E72D297353CC}">
                <c16:uniqueId val="{00000009-2F4A-4B38-8773-E1007656B04E}"/>
              </c:ext>
            </c:extLst>
          </c:dPt>
          <c:dLbls>
            <c:dLbl>
              <c:idx val="0"/>
              <c:layout>
                <c:manualLayout>
                  <c:x val="9.7222222222222224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48-4748-8E70-EF50B4D73ECC}"/>
                </c:ext>
              </c:extLst>
            </c:dLbl>
            <c:dLbl>
              <c:idx val="2"/>
              <c:layout>
                <c:manualLayout>
                  <c:x val="9.7222222222222224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48-4748-8E70-EF50B4D73ECC}"/>
                </c:ext>
              </c:extLst>
            </c:dLbl>
            <c:dLbl>
              <c:idx val="3"/>
              <c:layout>
                <c:manualLayout>
                  <c:x val="-8.6111111111111166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4A-4B38-8773-E1007656B0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Sheet6!$A$17:$A$22</c:f>
              <c:strCache>
                <c:ptCount val="5"/>
                <c:pt idx="0">
                  <c:v>Balanced</c:v>
                </c:pt>
                <c:pt idx="1">
                  <c:v>Debt</c:v>
                </c:pt>
                <c:pt idx="2">
                  <c:v>ELSS</c:v>
                </c:pt>
                <c:pt idx="3">
                  <c:v>Equity</c:v>
                </c:pt>
                <c:pt idx="4">
                  <c:v>Hybrid</c:v>
                </c:pt>
              </c:strCache>
            </c:strRef>
          </c:cat>
          <c:val>
            <c:numRef>
              <c:f>Sheet6!$B$17:$B$22</c:f>
              <c:numCache>
                <c:formatCode>0.00%</c:formatCode>
                <c:ptCount val="5"/>
                <c:pt idx="0">
                  <c:v>0.20863621167202759</c:v>
                </c:pt>
                <c:pt idx="1">
                  <c:v>0.1859512586464403</c:v>
                </c:pt>
                <c:pt idx="2">
                  <c:v>0.22259963587061449</c:v>
                </c:pt>
                <c:pt idx="3">
                  <c:v>0.24238002248624108</c:v>
                </c:pt>
                <c:pt idx="4">
                  <c:v>0.18223024661741333</c:v>
                </c:pt>
              </c:numCache>
            </c:numRef>
          </c:val>
          <c:extLst>
            <c:ext xmlns:c16="http://schemas.microsoft.com/office/drawing/2014/chart" uri="{C3380CC4-5D6E-409C-BE32-E72D297353CC}">
              <c16:uniqueId val="{00000000-C948-4748-8E70-EF50B4D73ECC}"/>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[Mutual_Fund_Investment_Tracking_System.xlsx]Sheet6!PivotTable7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Investment</a:t>
            </a:r>
            <a:r>
              <a:rPr lang="en-IN" baseline="0"/>
              <a:t> Vs Current Vlaue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Sheet6!$L$5</c:f>
              <c:strCache>
                <c:ptCount val="1"/>
                <c:pt idx="0">
                  <c:v>Sum of Total Invested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Sheet6!$K$6:$K$14</c:f>
              <c:strCache>
                <c:ptCount val="8"/>
                <c:pt idx="0">
                  <c:v>HDFC</c:v>
                </c:pt>
                <c:pt idx="1">
                  <c:v>ICICI</c:v>
                </c:pt>
                <c:pt idx="2">
                  <c:v>Kotak</c:v>
                </c:pt>
                <c:pt idx="3">
                  <c:v>Mirae</c:v>
                </c:pt>
                <c:pt idx="4">
                  <c:v>Nippon</c:v>
                </c:pt>
                <c:pt idx="5">
                  <c:v>Parag</c:v>
                </c:pt>
                <c:pt idx="6">
                  <c:v>SBI</c:v>
                </c:pt>
                <c:pt idx="7">
                  <c:v>UTI</c:v>
                </c:pt>
              </c:strCache>
            </c:strRef>
          </c:cat>
          <c:val>
            <c:numRef>
              <c:f>Sheet6!$L$6:$L$14</c:f>
              <c:numCache>
                <c:formatCode>_ [$₹-4009]\ * #,##0.00_ ;_ [$₹-4009]\ * \-#,##0.00_ ;_ [$₹-4009]\ * "-"??_ ;_ @_ </c:formatCode>
                <c:ptCount val="8"/>
                <c:pt idx="0">
                  <c:v>3962500</c:v>
                </c:pt>
                <c:pt idx="1">
                  <c:v>4627000</c:v>
                </c:pt>
                <c:pt idx="2">
                  <c:v>4217000</c:v>
                </c:pt>
                <c:pt idx="3">
                  <c:v>4097500</c:v>
                </c:pt>
                <c:pt idx="4">
                  <c:v>3317000</c:v>
                </c:pt>
                <c:pt idx="5">
                  <c:v>4017000</c:v>
                </c:pt>
                <c:pt idx="6">
                  <c:v>4255500</c:v>
                </c:pt>
                <c:pt idx="7">
                  <c:v>4036000</c:v>
                </c:pt>
              </c:numCache>
            </c:numRef>
          </c:val>
          <c:smooth val="0"/>
          <c:extLst>
            <c:ext xmlns:c16="http://schemas.microsoft.com/office/drawing/2014/chart" uri="{C3380CC4-5D6E-409C-BE32-E72D297353CC}">
              <c16:uniqueId val="{00000000-578E-4092-A25F-D87FDB9CDCEB}"/>
            </c:ext>
          </c:extLst>
        </c:ser>
        <c:ser>
          <c:idx val="1"/>
          <c:order val="1"/>
          <c:tx>
            <c:strRef>
              <c:f>Sheet6!$M$5</c:f>
              <c:strCache>
                <c:ptCount val="1"/>
                <c:pt idx="0">
                  <c:v>Sum of Current Value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Sheet6!$K$6:$K$14</c:f>
              <c:strCache>
                <c:ptCount val="8"/>
                <c:pt idx="0">
                  <c:v>HDFC</c:v>
                </c:pt>
                <c:pt idx="1">
                  <c:v>ICICI</c:v>
                </c:pt>
                <c:pt idx="2">
                  <c:v>Kotak</c:v>
                </c:pt>
                <c:pt idx="3">
                  <c:v>Mirae</c:v>
                </c:pt>
                <c:pt idx="4">
                  <c:v>Nippon</c:v>
                </c:pt>
                <c:pt idx="5">
                  <c:v>Parag</c:v>
                </c:pt>
                <c:pt idx="6">
                  <c:v>SBI</c:v>
                </c:pt>
                <c:pt idx="7">
                  <c:v>UTI</c:v>
                </c:pt>
              </c:strCache>
            </c:strRef>
          </c:cat>
          <c:val>
            <c:numRef>
              <c:f>Sheet6!$M$6:$M$14</c:f>
              <c:numCache>
                <c:formatCode>_ [$₹-4009]\ * #,##0.00_ ;_ [$₹-4009]\ * \-#,##0.00_ ;_ [$₹-4009]\ * "-"??_ ;_ @_ </c:formatCode>
                <c:ptCount val="8"/>
                <c:pt idx="0">
                  <c:v>4604427.9799999995</c:v>
                </c:pt>
                <c:pt idx="1">
                  <c:v>5910039.4399999985</c:v>
                </c:pt>
                <c:pt idx="2">
                  <c:v>5026802.4500000011</c:v>
                </c:pt>
                <c:pt idx="3">
                  <c:v>4883134.2799999993</c:v>
                </c:pt>
                <c:pt idx="4">
                  <c:v>4140725.11</c:v>
                </c:pt>
                <c:pt idx="5">
                  <c:v>5077763.370000001</c:v>
                </c:pt>
                <c:pt idx="6">
                  <c:v>5084866.4399999995</c:v>
                </c:pt>
                <c:pt idx="7">
                  <c:v>5035604.08</c:v>
                </c:pt>
              </c:numCache>
            </c:numRef>
          </c:val>
          <c:smooth val="0"/>
          <c:extLst>
            <c:ext xmlns:c16="http://schemas.microsoft.com/office/drawing/2014/chart" uri="{C3380CC4-5D6E-409C-BE32-E72D297353CC}">
              <c16:uniqueId val="{00000001-578E-4092-A25F-D87FDB9CDCEB}"/>
            </c:ext>
          </c:extLst>
        </c:ser>
        <c:dLbls>
          <c:dLblPos val="t"/>
          <c:showLegendKey val="0"/>
          <c:showVal val="1"/>
          <c:showCatName val="0"/>
          <c:showSerName val="0"/>
          <c:showPercent val="0"/>
          <c:showBubbleSize val="0"/>
        </c:dLbls>
        <c:marker val="1"/>
        <c:smooth val="0"/>
        <c:axId val="158296704"/>
        <c:axId val="158297664"/>
      </c:lineChart>
      <c:catAx>
        <c:axId val="1582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7664"/>
        <c:crosses val="autoZero"/>
        <c:auto val="1"/>
        <c:lblAlgn val="ctr"/>
        <c:lblOffset val="100"/>
        <c:noMultiLvlLbl val="0"/>
      </c:catAx>
      <c:valAx>
        <c:axId val="158297664"/>
        <c:scaling>
          <c:orientation val="minMax"/>
        </c:scaling>
        <c:delete val="0"/>
        <c:axPos val="l"/>
        <c:majorGridlines>
          <c:spPr>
            <a:ln w="9525" cap="flat" cmpd="sng" algn="ctr">
              <a:solidFill>
                <a:schemeClr val="tx1">
                  <a:lumMod val="15000"/>
                  <a:lumOff val="85000"/>
                </a:schemeClr>
              </a:solidFill>
              <a:round/>
            </a:ln>
            <a:effectLst/>
          </c:spPr>
        </c:majorGridlines>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[Mutual_Fund_Investment_Tracking_System.xlsx]Sheet7!PivotTable8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a:t>
            </a:r>
            <a:r>
              <a:rPr lang="en-US" baseline="0"/>
              <a:t> Distribution By Fund Type</a:t>
            </a:r>
            <a:endParaRPr lang="en-US"/>
          </a:p>
        </c:rich>
      </c:tx>
      <c:layout>
        <c:manualLayout>
          <c:xMode val="edge"/>
          <c:yMode val="edge"/>
          <c:x val="1.80763342082239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Sheet7!$B$3</c:f>
              <c:strCache>
                <c:ptCount val="1"/>
                <c:pt idx="0">
                  <c:v>Total</c:v>
                </c:pt>
              </c:strCache>
            </c:strRef>
          </c:tx>
          <c:spPr>
            <a:solidFill>
              <a:schemeClr val="accent1"/>
            </a:solidFill>
            <a:ln w="25400">
              <a:solidFill>
                <a:schemeClr val="lt1"/>
              </a:solidFill>
            </a:ln>
            <a:effectLst/>
            <a:sp3d contourW="25400">
              <a:contourClr>
                <a:schemeClr val="lt1"/>
              </a:contourClr>
            </a:sp3d>
          </c:spPr>
          <c:invertIfNegative val="0"/>
          <c:dLbls>
            <c:numFmt formatCode="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Sheet7!$A$4:$A$9</c:f>
              <c:strCache>
                <c:ptCount val="5"/>
                <c:pt idx="0">
                  <c:v>Balanced</c:v>
                </c:pt>
                <c:pt idx="1">
                  <c:v>Debt</c:v>
                </c:pt>
                <c:pt idx="2">
                  <c:v>ELSS</c:v>
                </c:pt>
                <c:pt idx="3">
                  <c:v>Equity</c:v>
                </c:pt>
                <c:pt idx="4">
                  <c:v>Hybrid</c:v>
                </c:pt>
              </c:strCache>
            </c:strRef>
          </c:cat>
          <c:val>
            <c:numRef>
              <c:f>Sheet7!$B$4:$B$9</c:f>
              <c:numCache>
                <c:formatCode>_ [$₹-4009]\ * #,##0.00_ ;_ [$₹-4009]\ * \-#,##0.00_ ;_ [$₹-4009]\ * "-"??_ ;_ @_ </c:formatCode>
                <c:ptCount val="5"/>
                <c:pt idx="0">
                  <c:v>8838000</c:v>
                </c:pt>
                <c:pt idx="1">
                  <c:v>6937000</c:v>
                </c:pt>
                <c:pt idx="2">
                  <c:v>7899500</c:v>
                </c:pt>
                <c:pt idx="3">
                  <c:v>7806000</c:v>
                </c:pt>
                <c:pt idx="4">
                  <c:v>7739500</c:v>
                </c:pt>
              </c:numCache>
            </c:numRef>
          </c:val>
          <c:extLst>
            <c:ext xmlns:c16="http://schemas.microsoft.com/office/drawing/2014/chart" uri="{C3380CC4-5D6E-409C-BE32-E72D297353CC}">
              <c16:uniqueId val="{00000000-C6B4-4F54-BB1B-8C6A7F02D97A}"/>
            </c:ext>
          </c:extLst>
        </c:ser>
        <c:dLbls>
          <c:showLegendKey val="0"/>
          <c:showVal val="1"/>
          <c:showCatName val="0"/>
          <c:showSerName val="0"/>
          <c:showPercent val="0"/>
          <c:showBubbleSize val="0"/>
        </c:dLbls>
        <c:gapWidth val="150"/>
        <c:shape val="box"/>
        <c:axId val="243640144"/>
        <c:axId val="243638704"/>
        <c:axId val="1915716016"/>
      </c:bar3DChart>
      <c:catAx>
        <c:axId val="24364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Fund</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638704"/>
        <c:crosses val="autoZero"/>
        <c:auto val="1"/>
        <c:lblAlgn val="ctr"/>
        <c:lblOffset val="100"/>
        <c:noMultiLvlLbl val="0"/>
      </c:catAx>
      <c:valAx>
        <c:axId val="24363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Invested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640144"/>
        <c:crosses val="autoZero"/>
        <c:crossBetween val="between"/>
      </c:valAx>
      <c:serAx>
        <c:axId val="1915716016"/>
        <c:scaling>
          <c:orientation val="minMax"/>
        </c:scaling>
        <c:delete val="1"/>
        <c:axPos val="b"/>
        <c:majorTickMark val="out"/>
        <c:minorTickMark val="none"/>
        <c:tickLblPos val="nextTo"/>
        <c:crossAx val="2436387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[Mutual_Fund_Investment_Tracking_System.xlsx]Sheet7!PivotTable9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a:t>
            </a:r>
            <a:r>
              <a:rPr lang="en-US" baseline="0"/>
              <a:t> VALUE BY FUND MANAGER</a:t>
            </a:r>
            <a:endParaRPr lang="en-US"/>
          </a:p>
        </c:rich>
      </c:tx>
      <c:layout>
        <c:manualLayout>
          <c:xMode val="edge"/>
          <c:yMode val="edge"/>
          <c:x val="2.880555555555556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Sheet7!$B$15</c:f>
              <c:strCache>
                <c:ptCount val="1"/>
                <c:pt idx="0">
                  <c:v>Total</c:v>
                </c:pt>
              </c:strCache>
            </c:strRef>
          </c:tx>
          <c:spPr>
            <a:solidFill>
              <a:schemeClr val="accent1"/>
            </a:solidFill>
            <a:ln>
              <a:noFill/>
            </a:ln>
            <a:effectLst/>
          </c:spPr>
          <c:invertIfNegative val="0"/>
          <c:cat>
            <c:strRef>
              <c:f>Sheet7!$A$16:$A$22</c:f>
              <c:strCache>
                <c:ptCount val="6"/>
                <c:pt idx="0">
                  <c:v>A. Mehta</c:v>
                </c:pt>
                <c:pt idx="1">
                  <c:v>L. Banerjee</c:v>
                </c:pt>
                <c:pt idx="2">
                  <c:v>M. Iyer</c:v>
                </c:pt>
                <c:pt idx="3">
                  <c:v>P. Gupta</c:v>
                </c:pt>
                <c:pt idx="4">
                  <c:v>R. Desai</c:v>
                </c:pt>
                <c:pt idx="5">
                  <c:v>S. Sharma</c:v>
                </c:pt>
              </c:strCache>
            </c:strRef>
          </c:cat>
          <c:val>
            <c:numRef>
              <c:f>Sheet7!$B$16:$B$22</c:f>
              <c:numCache>
                <c:formatCode>_ [$₹-4009]\ * #,##0.00_ ;_ [$₹-4009]\ * \-#,##0.00_ ;_ [$₹-4009]\ * "-"??_ ;_ @_ </c:formatCode>
                <c:ptCount val="6"/>
                <c:pt idx="0">
                  <c:v>6899206.5399999982</c:v>
                </c:pt>
                <c:pt idx="1">
                  <c:v>8233584.7599999979</c:v>
                </c:pt>
                <c:pt idx="2">
                  <c:v>7471380.3999999994</c:v>
                </c:pt>
                <c:pt idx="3">
                  <c:v>7883393.5999999978</c:v>
                </c:pt>
                <c:pt idx="4">
                  <c:v>8833697.2300000004</c:v>
                </c:pt>
                <c:pt idx="5">
                  <c:v>8651228.8299999963</c:v>
                </c:pt>
              </c:numCache>
            </c:numRef>
          </c:val>
          <c:extLst>
            <c:ext xmlns:c16="http://schemas.microsoft.com/office/drawing/2014/chart" uri="{C3380CC4-5D6E-409C-BE32-E72D297353CC}">
              <c16:uniqueId val="{00000000-43DF-44CE-A77B-0A3E9E075C2A}"/>
            </c:ext>
          </c:extLst>
        </c:ser>
        <c:dLbls>
          <c:showLegendKey val="0"/>
          <c:showVal val="0"/>
          <c:showCatName val="0"/>
          <c:showSerName val="0"/>
          <c:showPercent val="0"/>
          <c:showBubbleSize val="0"/>
        </c:dLbls>
        <c:gapWidth val="182"/>
        <c:axId val="114714096"/>
        <c:axId val="114716016"/>
      </c:barChart>
      <c:catAx>
        <c:axId val="11471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6016"/>
        <c:crosses val="autoZero"/>
        <c:auto val="1"/>
        <c:lblAlgn val="ctr"/>
        <c:lblOffset val="100"/>
        <c:noMultiLvlLbl val="0"/>
      </c:catAx>
      <c:valAx>
        <c:axId val="114716016"/>
        <c:scaling>
          <c:orientation val="minMax"/>
        </c:scaling>
        <c:delete val="0"/>
        <c:axPos val="b"/>
        <c:numFmt formatCode="0.00,,\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hyperlink" Target="#Sheet_design!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hyperlink" Target="#Data!A1"/><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114301</xdr:colOff>
      <xdr:row>0</xdr:row>
      <xdr:rowOff>171451</xdr:rowOff>
    </xdr:from>
    <xdr:to>
      <xdr:col>6</xdr:col>
      <xdr:colOff>184151</xdr:colOff>
      <xdr:row>9</xdr:row>
      <xdr:rowOff>107951</xdr:rowOff>
    </xdr:to>
    <xdr:graphicFrame macro="">
      <xdr:nvGraphicFramePr>
        <xdr:cNvPr id="2" name="Chart 1">
          <a:extLst>
            <a:ext uri="{FF2B5EF4-FFF2-40B4-BE49-F238E27FC236}">
              <a16:creationId xmlns:a16="http://schemas.microsoft.com/office/drawing/2014/main" id="{6934B99C-9C6F-4D41-A18E-B96A815BD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368301</xdr:colOff>
      <xdr:row>0</xdr:row>
      <xdr:rowOff>146050</xdr:rowOff>
    </xdr:from>
    <xdr:to>
      <xdr:col>12</xdr:col>
      <xdr:colOff>133350</xdr:colOff>
      <xdr:row>9</xdr:row>
      <xdr:rowOff>158750</xdr:rowOff>
    </xdr:to>
    <xdr:graphicFrame macro="">
      <xdr:nvGraphicFramePr>
        <xdr:cNvPr id="3" name="Chart 2">
          <a:extLst>
            <a:ext uri="{FF2B5EF4-FFF2-40B4-BE49-F238E27FC236}">
              <a16:creationId xmlns:a16="http://schemas.microsoft.com/office/drawing/2014/main" id="{AD88565E-7318-4563-A18E-0E4B26121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105229</xdr:colOff>
      <xdr:row>10</xdr:row>
      <xdr:rowOff>114301</xdr:rowOff>
    </xdr:from>
    <xdr:to>
      <xdr:col>7</xdr:col>
      <xdr:colOff>175079</xdr:colOff>
      <xdr:row>21</xdr:row>
      <xdr:rowOff>156030</xdr:rowOff>
    </xdr:to>
    <xdr:graphicFrame macro="">
      <xdr:nvGraphicFramePr>
        <xdr:cNvPr id="4" name="Chart 3">
          <a:extLst>
            <a:ext uri="{FF2B5EF4-FFF2-40B4-BE49-F238E27FC236}">
              <a16:creationId xmlns:a16="http://schemas.microsoft.com/office/drawing/2014/main" id="{FBF30D9A-CCB3-40D6-841C-01C13EB5C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403679</xdr:colOff>
      <xdr:row>10</xdr:row>
      <xdr:rowOff>139699</xdr:rowOff>
    </xdr:from>
    <xdr:to>
      <xdr:col>13</xdr:col>
      <xdr:colOff>498929</xdr:colOff>
      <xdr:row>22</xdr:row>
      <xdr:rowOff>2721</xdr:rowOff>
    </xdr:to>
    <xdr:graphicFrame macro="">
      <xdr:nvGraphicFramePr>
        <xdr:cNvPr id="5" name="Chart 4">
          <a:extLst>
            <a:ext uri="{FF2B5EF4-FFF2-40B4-BE49-F238E27FC236}">
              <a16:creationId xmlns:a16="http://schemas.microsoft.com/office/drawing/2014/main" id="{CC9323ED-7ADD-4674-9ED7-7045E7BBC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438150</xdr:colOff>
      <xdr:row>0</xdr:row>
      <xdr:rowOff>114300</xdr:rowOff>
    </xdr:from>
    <xdr:to>
      <xdr:col>17</xdr:col>
      <xdr:colOff>552450</xdr:colOff>
      <xdr:row>10</xdr:row>
      <xdr:rowOff>12700</xdr:rowOff>
    </xdr:to>
    <xdr:graphicFrame macro="">
      <xdr:nvGraphicFramePr>
        <xdr:cNvPr id="6" name="Chart 5">
          <a:extLst>
            <a:ext uri="{FF2B5EF4-FFF2-40B4-BE49-F238E27FC236}">
              <a16:creationId xmlns:a16="http://schemas.microsoft.com/office/drawing/2014/main" id="{930BB958-F52F-4669-AA96-0D1E53819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117928</xdr:colOff>
      <xdr:row>10</xdr:row>
      <xdr:rowOff>154213</xdr:rowOff>
    </xdr:from>
    <xdr:to>
      <xdr:col>17</xdr:col>
      <xdr:colOff>117928</xdr:colOff>
      <xdr:row>22</xdr:row>
      <xdr:rowOff>17235</xdr:rowOff>
    </xdr:to>
    <mc:AlternateContent xmlns:mc="http://schemas.openxmlformats.org/markup-compatibility/2006" xmlns:a14="http://schemas.microsoft.com/office/drawing/2010/main">
      <mc:Choice Requires="a14">
        <xdr:graphicFrame macro="">
          <xdr:nvGraphicFramePr>
            <xdr:cNvPr id="7" name="Fund Type 4">
              <a:extLst>
                <a:ext uri="{FF2B5EF4-FFF2-40B4-BE49-F238E27FC236}">
                  <a16:creationId xmlns:a16="http://schemas.microsoft.com/office/drawing/2014/main" id="{8429A8FA-AEB4-40DF-B60F-35E11814AF44}"/>
                </a:ext>
              </a:extLst>
            </xdr:cNvPr>
            <xdr:cNvGraphicFramePr/>
          </xdr:nvGraphicFramePr>
          <xdr:xfrm>
            <a:off x="0" y="0"/>
            <a:ext cx="0" cy="0"/>
          </xdr:xfrm>
          <a:graphic>
            <a:graphicData uri="http://schemas.microsoft.com/office/drawing/2010/slicer">
              <sle:slicer xmlns:sle="http://schemas.microsoft.com/office/drawing/2010/slicer" name="Fund Type 4"/>
            </a:graphicData>
          </a:graphic>
        </xdr:graphicFrame>
      </mc:Choice>
      <mc:Fallback xmlns="">
        <xdr:sp macro="" textlink="">
          <xdr:nvSpPr>
            <xdr:cNvPr id="0" name=""/>
            <xdr:cNvSpPr>
              <a:spLocks noTextEdit="1"/>
            </xdr:cNvSpPr>
          </xdr:nvSpPr>
          <xdr:spPr>
            <a:xfrm>
              <a:off x="8626928" y="1968499"/>
              <a:ext cx="1823357" cy="2040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226786</xdr:colOff>
      <xdr:row>23</xdr:row>
      <xdr:rowOff>18143</xdr:rowOff>
    </xdr:from>
    <xdr:to>
      <xdr:col>3</xdr:col>
      <xdr:colOff>226786</xdr:colOff>
      <xdr:row>34</xdr:row>
      <xdr:rowOff>75293</xdr:rowOff>
    </xdr:to>
    <mc:AlternateContent xmlns:mc="http://schemas.openxmlformats.org/markup-compatibility/2006" xmlns:a14="http://schemas.microsoft.com/office/drawing/2010/main">
      <mc:Choice Requires="a14">
        <xdr:graphicFrame macro="">
          <xdr:nvGraphicFramePr>
            <xdr:cNvPr id="8" name="Fund Manager 2">
              <a:extLst>
                <a:ext uri="{FF2B5EF4-FFF2-40B4-BE49-F238E27FC236}">
                  <a16:creationId xmlns:a16="http://schemas.microsoft.com/office/drawing/2014/main" id="{CDBCA818-39BC-4D0D-B17C-44763C91A0BD}"/>
                </a:ext>
              </a:extLst>
            </xdr:cNvPr>
            <xdr:cNvGraphicFramePr/>
          </xdr:nvGraphicFramePr>
          <xdr:xfrm>
            <a:off x="0" y="0"/>
            <a:ext cx="0" cy="0"/>
          </xdr:xfrm>
          <a:graphic>
            <a:graphicData uri="http://schemas.microsoft.com/office/drawing/2010/slicer">
              <sle:slicer xmlns:sle="http://schemas.microsoft.com/office/drawing/2010/slicer" name="Fund Manager 2"/>
            </a:graphicData>
          </a:graphic>
        </xdr:graphicFrame>
      </mc:Choice>
      <mc:Fallback xmlns="">
        <xdr:sp macro="" textlink="">
          <xdr:nvSpPr>
            <xdr:cNvPr id="0" name=""/>
            <xdr:cNvSpPr>
              <a:spLocks noTextEdit="1"/>
            </xdr:cNvSpPr>
          </xdr:nvSpPr>
          <xdr:spPr>
            <a:xfrm>
              <a:off x="226786" y="4191000"/>
              <a:ext cx="1823357" cy="2052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498929</xdr:colOff>
      <xdr:row>22</xdr:row>
      <xdr:rowOff>163286</xdr:rowOff>
    </xdr:from>
    <xdr:to>
      <xdr:col>6</xdr:col>
      <xdr:colOff>504372</xdr:colOff>
      <xdr:row>34</xdr:row>
      <xdr:rowOff>145144</xdr:rowOff>
    </xdr:to>
    <mc:AlternateContent xmlns:mc="http://schemas.openxmlformats.org/markup-compatibility/2006" xmlns:a14="http://schemas.microsoft.com/office/drawing/2010/main">
      <mc:Choice Requires="a14">
        <xdr:graphicFrame macro="">
          <xdr:nvGraphicFramePr>
            <xdr:cNvPr id="9" name="AMC 2">
              <a:extLst>
                <a:ext uri="{FF2B5EF4-FFF2-40B4-BE49-F238E27FC236}">
                  <a16:creationId xmlns:a16="http://schemas.microsoft.com/office/drawing/2014/main" id="{52842931-7318-44E4-B678-0F5000B6E825}"/>
                </a:ext>
              </a:extLst>
            </xdr:cNvPr>
            <xdr:cNvGraphicFramePr/>
          </xdr:nvGraphicFramePr>
          <xdr:xfrm>
            <a:off x="0" y="0"/>
            <a:ext cx="0" cy="0"/>
          </xdr:xfrm>
          <a:graphic>
            <a:graphicData uri="http://schemas.microsoft.com/office/drawing/2010/slicer">
              <sle:slicer xmlns:sle="http://schemas.microsoft.com/office/drawing/2010/slicer" name="AMC 2"/>
            </a:graphicData>
          </a:graphic>
        </xdr:graphicFrame>
      </mc:Choice>
      <mc:Fallback xmlns="">
        <xdr:sp macro="" textlink="">
          <xdr:nvSpPr>
            <xdr:cNvPr id="0" name=""/>
            <xdr:cNvSpPr>
              <a:spLocks noTextEdit="1"/>
            </xdr:cNvSpPr>
          </xdr:nvSpPr>
          <xdr:spPr>
            <a:xfrm>
              <a:off x="2322286" y="4154715"/>
              <a:ext cx="182880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90716</xdr:colOff>
      <xdr:row>1</xdr:row>
      <xdr:rowOff>66221</xdr:rowOff>
    </xdr:from>
    <xdr:to>
      <xdr:col>3</xdr:col>
      <xdr:colOff>408217</xdr:colOff>
      <xdr:row>48</xdr:row>
      <xdr:rowOff>127002</xdr:rowOff>
    </xdr:to>
    <xdr:sp macro="" textlink="">
      <xdr:nvSpPr>
        <xdr:cNvPr id="2" name="Rectangle: Top Corners Rounded 1">
          <a:extLst>
            <a:ext uri="{FF2B5EF4-FFF2-40B4-BE49-F238E27FC236}">
              <a16:creationId xmlns:a16="http://schemas.microsoft.com/office/drawing/2014/main" id="{EB68229F-3F52-7EC9-AEC1-FC1E4B510571}"/>
            </a:ext>
          </a:extLst>
        </xdr:cNvPr>
        <xdr:cNvSpPr/>
      </xdr:nvSpPr>
      <xdr:spPr>
        <a:xfrm rot="16200000">
          <a:off x="-3132817" y="3471183"/>
          <a:ext cx="8587923" cy="2140858"/>
        </a:xfrm>
        <a:prstGeom prst="round2SameRect">
          <a:avLst/>
        </a:prstGeom>
        <a:solidFill>
          <a:srgbClr val="D9D9D9"/>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B</a:t>
          </a:r>
        </a:p>
      </xdr:txBody>
    </xdr:sp>
    <xdr:clientData/>
  </xdr:twoCellAnchor>
  <xdr:twoCellAnchor>
    <xdr:from>
      <xdr:col>3</xdr:col>
      <xdr:colOff>505032</xdr:colOff>
      <xdr:row>1</xdr:row>
      <xdr:rowOff>63500</xdr:rowOff>
    </xdr:from>
    <xdr:to>
      <xdr:col>22</xdr:col>
      <xdr:colOff>152255</xdr:colOff>
      <xdr:row>7</xdr:row>
      <xdr:rowOff>67882</xdr:rowOff>
    </xdr:to>
    <xdr:sp macro="" textlink="">
      <xdr:nvSpPr>
        <xdr:cNvPr id="17" name="Rectangle: Rounded Corners 16">
          <a:extLst>
            <a:ext uri="{FF2B5EF4-FFF2-40B4-BE49-F238E27FC236}">
              <a16:creationId xmlns:a16="http://schemas.microsoft.com/office/drawing/2014/main" id="{0A731FCA-E91F-A848-7BD2-1C17C9049648}"/>
            </a:ext>
          </a:extLst>
        </xdr:cNvPr>
        <xdr:cNvSpPr/>
      </xdr:nvSpPr>
      <xdr:spPr>
        <a:xfrm>
          <a:off x="2328389" y="244929"/>
          <a:ext cx="11204223" cy="1092953"/>
        </a:xfrm>
        <a:prstGeom prst="roundRect">
          <a:avLst>
            <a:gd name="adj" fmla="val 5334"/>
          </a:avLst>
        </a:prstGeom>
        <a:solidFill>
          <a:srgbClr val="D9D9D9"/>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ln>
              <a:noFill/>
            </a:ln>
          </a:endParaRPr>
        </a:p>
      </xdr:txBody>
    </xdr:sp>
    <xdr:clientData/>
  </xdr:twoCellAnchor>
  <xdr:twoCellAnchor editAs="oneCell">
    <xdr:from>
      <xdr:col>4</xdr:col>
      <xdr:colOff>236354</xdr:colOff>
      <xdr:row>2</xdr:row>
      <xdr:rowOff>151738</xdr:rowOff>
    </xdr:from>
    <xdr:to>
      <xdr:col>5</xdr:col>
      <xdr:colOff>210438</xdr:colOff>
      <xdr:row>6</xdr:row>
      <xdr:rowOff>84939</xdr:rowOff>
    </xdr:to>
    <xdr:pic>
      <xdr:nvPicPr>
        <xdr:cNvPr id="21" name="Picture 20">
          <a:extLst>
            <a:ext uri="{FF2B5EF4-FFF2-40B4-BE49-F238E27FC236}">
              <a16:creationId xmlns:a16="http://schemas.microsoft.com/office/drawing/2014/main" id="{34443EAE-1612-3E35-C327-420AE3DBE9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497" y="514595"/>
          <a:ext cx="581870" cy="658915"/>
        </a:xfrm>
        <a:prstGeom prst="rect">
          <a:avLst/>
        </a:prstGeom>
      </xdr:spPr>
    </xdr:pic>
    <xdr:clientData/>
  </xdr:twoCellAnchor>
  <xdr:twoCellAnchor>
    <xdr:from>
      <xdr:col>3</xdr:col>
      <xdr:colOff>558801</xdr:colOff>
      <xdr:row>8</xdr:row>
      <xdr:rowOff>41727</xdr:rowOff>
    </xdr:from>
    <xdr:to>
      <xdr:col>8</xdr:col>
      <xdr:colOff>163286</xdr:colOff>
      <xdr:row>14</xdr:row>
      <xdr:rowOff>68942</xdr:rowOff>
    </xdr:to>
    <xdr:sp macro="" textlink="">
      <xdr:nvSpPr>
        <xdr:cNvPr id="28" name="Rectangle: Rounded Corners 27">
          <a:extLst>
            <a:ext uri="{FF2B5EF4-FFF2-40B4-BE49-F238E27FC236}">
              <a16:creationId xmlns:a16="http://schemas.microsoft.com/office/drawing/2014/main" id="{4EAB1957-1599-4393-894B-AEA4660F61B0}"/>
            </a:ext>
          </a:extLst>
        </xdr:cNvPr>
        <xdr:cNvSpPr/>
      </xdr:nvSpPr>
      <xdr:spPr>
        <a:xfrm>
          <a:off x="2382158" y="1493156"/>
          <a:ext cx="2643414" cy="111578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362857</xdr:colOff>
      <xdr:row>8</xdr:row>
      <xdr:rowOff>54428</xdr:rowOff>
    </xdr:from>
    <xdr:to>
      <xdr:col>12</xdr:col>
      <xdr:colOff>566057</xdr:colOff>
      <xdr:row>14</xdr:row>
      <xdr:rowOff>81643</xdr:rowOff>
    </xdr:to>
    <xdr:sp macro="" textlink="">
      <xdr:nvSpPr>
        <xdr:cNvPr id="29" name="Rectangle: Rounded Corners 28">
          <a:extLst>
            <a:ext uri="{FF2B5EF4-FFF2-40B4-BE49-F238E27FC236}">
              <a16:creationId xmlns:a16="http://schemas.microsoft.com/office/drawing/2014/main" id="{203C337A-433B-484C-AC30-377C06E479D4}"/>
            </a:ext>
          </a:extLst>
        </xdr:cNvPr>
        <xdr:cNvSpPr/>
      </xdr:nvSpPr>
      <xdr:spPr>
        <a:xfrm>
          <a:off x="5225143" y="1505857"/>
          <a:ext cx="2643414" cy="111578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145142</xdr:colOff>
      <xdr:row>8</xdr:row>
      <xdr:rowOff>45356</xdr:rowOff>
    </xdr:from>
    <xdr:to>
      <xdr:col>17</xdr:col>
      <xdr:colOff>357413</xdr:colOff>
      <xdr:row>14</xdr:row>
      <xdr:rowOff>72571</xdr:rowOff>
    </xdr:to>
    <xdr:sp macro="" textlink="">
      <xdr:nvSpPr>
        <xdr:cNvPr id="30" name="Rectangle: Rounded Corners 29">
          <a:extLst>
            <a:ext uri="{FF2B5EF4-FFF2-40B4-BE49-F238E27FC236}">
              <a16:creationId xmlns:a16="http://schemas.microsoft.com/office/drawing/2014/main" id="{049AF1EA-324A-44E0-94AF-4DC8BB89C044}"/>
            </a:ext>
          </a:extLst>
        </xdr:cNvPr>
        <xdr:cNvSpPr/>
      </xdr:nvSpPr>
      <xdr:spPr>
        <a:xfrm>
          <a:off x="8055428" y="1496785"/>
          <a:ext cx="2643414" cy="111578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553357</xdr:colOff>
      <xdr:row>8</xdr:row>
      <xdr:rowOff>81642</xdr:rowOff>
    </xdr:from>
    <xdr:to>
      <xdr:col>22</xdr:col>
      <xdr:colOff>157843</xdr:colOff>
      <xdr:row>14</xdr:row>
      <xdr:rowOff>108857</xdr:rowOff>
    </xdr:to>
    <xdr:sp macro="" textlink="">
      <xdr:nvSpPr>
        <xdr:cNvPr id="31" name="Rectangle: Rounded Corners 30">
          <a:extLst>
            <a:ext uri="{FF2B5EF4-FFF2-40B4-BE49-F238E27FC236}">
              <a16:creationId xmlns:a16="http://schemas.microsoft.com/office/drawing/2014/main" id="{DD74224B-576B-4E8B-8BF0-0E79E3949A3C}"/>
            </a:ext>
          </a:extLst>
        </xdr:cNvPr>
        <xdr:cNvSpPr/>
      </xdr:nvSpPr>
      <xdr:spPr>
        <a:xfrm>
          <a:off x="10955812" y="1559460"/>
          <a:ext cx="2664031" cy="1135579"/>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45357</xdr:colOff>
      <xdr:row>11</xdr:row>
      <xdr:rowOff>0</xdr:rowOff>
    </xdr:from>
    <xdr:to>
      <xdr:col>6</xdr:col>
      <xdr:colOff>308429</xdr:colOff>
      <xdr:row>13</xdr:row>
      <xdr:rowOff>99786</xdr:rowOff>
    </xdr:to>
    <xdr:sp macro="" textlink="Sheet4!A6">
      <xdr:nvSpPr>
        <xdr:cNvPr id="32" name="TextBox 31">
          <a:extLst>
            <a:ext uri="{FF2B5EF4-FFF2-40B4-BE49-F238E27FC236}">
              <a16:creationId xmlns:a16="http://schemas.microsoft.com/office/drawing/2014/main" id="{C656643C-1683-6890-475B-A0A075F1B4FD}"/>
            </a:ext>
          </a:extLst>
        </xdr:cNvPr>
        <xdr:cNvSpPr txBox="1"/>
      </xdr:nvSpPr>
      <xdr:spPr>
        <a:xfrm>
          <a:off x="2492993" y="2032000"/>
          <a:ext cx="1486891" cy="46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793C46-8D3D-4A3E-A831-91B8111D587E}" type="TxLink">
            <a:rPr lang="en-US" sz="1400" b="0" i="0" u="none" strike="noStrike">
              <a:solidFill>
                <a:srgbClr val="2C568E"/>
              </a:solidFill>
              <a:latin typeface="Lato Black" panose="020F0502020204030203" pitchFamily="34" charset="0"/>
              <a:ea typeface="Lato Black" panose="020F0502020204030203" pitchFamily="34" charset="0"/>
              <a:cs typeface="Lato Black" panose="020F0502020204030203" pitchFamily="34" charset="0"/>
            </a:rPr>
            <a:pPr/>
            <a:t>$39,220,000.00</a:t>
          </a:fld>
          <a:endParaRPr lang="en-IN" sz="1400">
            <a:solidFill>
              <a:srgbClr val="2C568E"/>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45357</xdr:colOff>
      <xdr:row>9</xdr:row>
      <xdr:rowOff>63500</xdr:rowOff>
    </xdr:from>
    <xdr:to>
      <xdr:col>7</xdr:col>
      <xdr:colOff>272143</xdr:colOff>
      <xdr:row>10</xdr:row>
      <xdr:rowOff>145142</xdr:rowOff>
    </xdr:to>
    <xdr:sp macro="" textlink="">
      <xdr:nvSpPr>
        <xdr:cNvPr id="33" name="TextBox 32">
          <a:extLst>
            <a:ext uri="{FF2B5EF4-FFF2-40B4-BE49-F238E27FC236}">
              <a16:creationId xmlns:a16="http://schemas.microsoft.com/office/drawing/2014/main" id="{E47F1506-7EF6-72BB-0811-A853D1C57E15}"/>
            </a:ext>
          </a:extLst>
        </xdr:cNvPr>
        <xdr:cNvSpPr txBox="1"/>
      </xdr:nvSpPr>
      <xdr:spPr>
        <a:xfrm>
          <a:off x="2476500" y="1696357"/>
          <a:ext cx="2050143" cy="26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n-lt"/>
              <a:ea typeface="Lato Black" panose="020F0502020204030203" pitchFamily="34" charset="0"/>
              <a:cs typeface="Lato Black" panose="020F0502020204030203" pitchFamily="34" charset="0"/>
            </a:rPr>
            <a:t>TOTAL INVESTED</a:t>
          </a:r>
        </a:p>
      </xdr:txBody>
    </xdr:sp>
    <xdr:clientData/>
  </xdr:twoCellAnchor>
  <xdr:twoCellAnchor>
    <xdr:from>
      <xdr:col>8</xdr:col>
      <xdr:colOff>353785</xdr:colOff>
      <xdr:row>10</xdr:row>
      <xdr:rowOff>163286</xdr:rowOff>
    </xdr:from>
    <xdr:to>
      <xdr:col>11</xdr:col>
      <xdr:colOff>471714</xdr:colOff>
      <xdr:row>15</xdr:row>
      <xdr:rowOff>36286</xdr:rowOff>
    </xdr:to>
    <xdr:sp macro="" textlink="Sheet4!C6">
      <xdr:nvSpPr>
        <xdr:cNvPr id="34" name="TextBox 33">
          <a:extLst>
            <a:ext uri="{FF2B5EF4-FFF2-40B4-BE49-F238E27FC236}">
              <a16:creationId xmlns:a16="http://schemas.microsoft.com/office/drawing/2014/main" id="{966AFB49-E2EB-2620-8D3B-EAB04F7CC97F}"/>
            </a:ext>
          </a:extLst>
        </xdr:cNvPr>
        <xdr:cNvSpPr txBox="1"/>
      </xdr:nvSpPr>
      <xdr:spPr>
        <a:xfrm>
          <a:off x="5216071" y="1977572"/>
          <a:ext cx="1950357" cy="780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163579-9070-427D-AFD0-A09E3A381F0F}" type="TxLink">
            <a:rPr lang="en-US" sz="1400" b="0" i="0" u="none" strike="noStrike">
              <a:solidFill>
                <a:srgbClr val="2C568E"/>
              </a:solidFill>
              <a:latin typeface="Lato Black" panose="020F0502020204030203" pitchFamily="34" charset="0"/>
              <a:ea typeface="Lato Black" panose="020F0502020204030203" pitchFamily="34" charset="0"/>
              <a:cs typeface="Lato Black" panose="020F0502020204030203" pitchFamily="34" charset="0"/>
            </a:rPr>
            <a:pPr/>
            <a:t>$47,972,491.36</a:t>
          </a:fld>
          <a:endParaRPr lang="en-IN" sz="1400">
            <a:solidFill>
              <a:srgbClr val="2C568E"/>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363681</xdr:colOff>
      <xdr:row>9</xdr:row>
      <xdr:rowOff>76693</xdr:rowOff>
    </xdr:from>
    <xdr:to>
      <xdr:col>12</xdr:col>
      <xdr:colOff>381824</xdr:colOff>
      <xdr:row>14</xdr:row>
      <xdr:rowOff>179777</xdr:rowOff>
    </xdr:to>
    <xdr:sp macro="" textlink="">
      <xdr:nvSpPr>
        <xdr:cNvPr id="35" name="TextBox 34">
          <a:extLst>
            <a:ext uri="{FF2B5EF4-FFF2-40B4-BE49-F238E27FC236}">
              <a16:creationId xmlns:a16="http://schemas.microsoft.com/office/drawing/2014/main" id="{4596437B-C0EA-62DA-FED0-4C207E6795EE}"/>
            </a:ext>
          </a:extLst>
        </xdr:cNvPr>
        <xdr:cNvSpPr txBox="1"/>
      </xdr:nvSpPr>
      <xdr:spPr>
        <a:xfrm>
          <a:off x="5258954" y="1739238"/>
          <a:ext cx="2465779" cy="1026721"/>
        </a:xfrm>
        <a:prstGeom prst="rect">
          <a:avLst/>
        </a:prstGeom>
        <a:noFill/>
        <a:ln w="9525" cmpd="sng">
          <a:solidFill>
            <a:srgbClr val="FAFAF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CURRENT</a:t>
          </a:r>
          <a:r>
            <a:rPr lang="en-IN" sz="1400" baseline="0"/>
            <a:t> VALUE</a:t>
          </a:r>
          <a:endParaRPr lang="en-IN" sz="1400"/>
        </a:p>
      </xdr:txBody>
    </xdr:sp>
    <xdr:clientData/>
  </xdr:twoCellAnchor>
  <xdr:twoCellAnchor>
    <xdr:from>
      <xdr:col>13</xdr:col>
      <xdr:colOff>353786</xdr:colOff>
      <xdr:row>10</xdr:row>
      <xdr:rowOff>163284</xdr:rowOff>
    </xdr:from>
    <xdr:to>
      <xdr:col>16</xdr:col>
      <xdr:colOff>217713</xdr:colOff>
      <xdr:row>13</xdr:row>
      <xdr:rowOff>99785</xdr:rowOff>
    </xdr:to>
    <xdr:sp macro="" textlink="Sheet4!B6">
      <xdr:nvSpPr>
        <xdr:cNvPr id="36" name="TextBox 35">
          <a:extLst>
            <a:ext uri="{FF2B5EF4-FFF2-40B4-BE49-F238E27FC236}">
              <a16:creationId xmlns:a16="http://schemas.microsoft.com/office/drawing/2014/main" id="{9E425E84-175B-2529-FBDB-98EC6E65C192}"/>
            </a:ext>
          </a:extLst>
        </xdr:cNvPr>
        <xdr:cNvSpPr txBox="1"/>
      </xdr:nvSpPr>
      <xdr:spPr>
        <a:xfrm>
          <a:off x="8264072" y="1977570"/>
          <a:ext cx="1687284" cy="48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38D4EA-F67F-4DEF-BB85-904F401BCB0B}" type="TxLink">
            <a:rPr lang="en-US" sz="1600" b="0" i="0" u="none" strike="noStrike">
              <a:solidFill>
                <a:srgbClr val="2C568E"/>
              </a:solidFill>
              <a:latin typeface="Lato Black" panose="020F0502020204030203" pitchFamily="34" charset="0"/>
              <a:ea typeface="Lato Black" panose="020F0502020204030203" pitchFamily="34" charset="0"/>
              <a:cs typeface="Lato Black" panose="020F0502020204030203" pitchFamily="34" charset="0"/>
            </a:rPr>
            <a:pPr/>
            <a:t>550</a:t>
          </a:fld>
          <a:endParaRPr lang="en-IN" sz="1600">
            <a:solidFill>
              <a:srgbClr val="2C568E"/>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255651</xdr:colOff>
      <xdr:row>9</xdr:row>
      <xdr:rowOff>87415</xdr:rowOff>
    </xdr:from>
    <xdr:to>
      <xdr:col>16</xdr:col>
      <xdr:colOff>6600</xdr:colOff>
      <xdr:row>10</xdr:row>
      <xdr:rowOff>145144</xdr:rowOff>
    </xdr:to>
    <xdr:sp macro="" textlink="">
      <xdr:nvSpPr>
        <xdr:cNvPr id="37" name="TextBox 36">
          <a:extLst>
            <a:ext uri="{FF2B5EF4-FFF2-40B4-BE49-F238E27FC236}">
              <a16:creationId xmlns:a16="http://schemas.microsoft.com/office/drawing/2014/main" id="{83215607-8208-0DA3-80D1-F5FC233D45FC}"/>
            </a:ext>
          </a:extLst>
        </xdr:cNvPr>
        <xdr:cNvSpPr txBox="1"/>
      </xdr:nvSpPr>
      <xdr:spPr>
        <a:xfrm>
          <a:off x="8210469" y="1749960"/>
          <a:ext cx="1586676" cy="2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n-lt"/>
            </a:rPr>
            <a:t>TOTAL FUND</a:t>
          </a:r>
        </a:p>
      </xdr:txBody>
    </xdr:sp>
    <xdr:clientData/>
  </xdr:twoCellAnchor>
  <xdr:twoCellAnchor>
    <xdr:from>
      <xdr:col>17</xdr:col>
      <xdr:colOff>562428</xdr:colOff>
      <xdr:row>9</xdr:row>
      <xdr:rowOff>54430</xdr:rowOff>
    </xdr:from>
    <xdr:to>
      <xdr:col>20</xdr:col>
      <xdr:colOff>172357</xdr:colOff>
      <xdr:row>11</xdr:row>
      <xdr:rowOff>63501</xdr:rowOff>
    </xdr:to>
    <xdr:sp macro="" textlink="">
      <xdr:nvSpPr>
        <xdr:cNvPr id="38" name="TextBox 37">
          <a:extLst>
            <a:ext uri="{FF2B5EF4-FFF2-40B4-BE49-F238E27FC236}">
              <a16:creationId xmlns:a16="http://schemas.microsoft.com/office/drawing/2014/main" id="{F290F167-DDCB-7313-A291-016EEBFD710F}"/>
            </a:ext>
          </a:extLst>
        </xdr:cNvPr>
        <xdr:cNvSpPr txBox="1"/>
      </xdr:nvSpPr>
      <xdr:spPr>
        <a:xfrm>
          <a:off x="10903857" y="1687287"/>
          <a:ext cx="1433286" cy="371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AVG</a:t>
          </a:r>
          <a:r>
            <a:rPr lang="en-IN" sz="1400" baseline="0"/>
            <a:t> </a:t>
          </a:r>
          <a:r>
            <a:rPr lang="en-US" sz="1400" baseline="0"/>
            <a:t>RETURNS </a:t>
          </a:r>
          <a:endParaRPr lang="en-IN" sz="1400"/>
        </a:p>
      </xdr:txBody>
    </xdr:sp>
    <xdr:clientData/>
  </xdr:twoCellAnchor>
  <xdr:twoCellAnchor>
    <xdr:from>
      <xdr:col>18</xdr:col>
      <xdr:colOff>36286</xdr:colOff>
      <xdr:row>10</xdr:row>
      <xdr:rowOff>172356</xdr:rowOff>
    </xdr:from>
    <xdr:to>
      <xdr:col>22</xdr:col>
      <xdr:colOff>63500</xdr:colOff>
      <xdr:row>15</xdr:row>
      <xdr:rowOff>72570</xdr:rowOff>
    </xdr:to>
    <xdr:sp macro="" textlink="Sheet4!D6">
      <xdr:nvSpPr>
        <xdr:cNvPr id="39" name="TextBox 38">
          <a:extLst>
            <a:ext uri="{FF2B5EF4-FFF2-40B4-BE49-F238E27FC236}">
              <a16:creationId xmlns:a16="http://schemas.microsoft.com/office/drawing/2014/main" id="{4FB159AC-5872-D270-A279-450CE6EF91B1}"/>
            </a:ext>
          </a:extLst>
        </xdr:cNvPr>
        <xdr:cNvSpPr txBox="1"/>
      </xdr:nvSpPr>
      <xdr:spPr>
        <a:xfrm>
          <a:off x="10985500" y="1986642"/>
          <a:ext cx="2458357" cy="807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92298-E933-4FA4-9469-2D7DD40AA0FC}" type="TxLink">
            <a:rPr lang="en-US" sz="1600" b="0" i="0" u="none" strike="noStrike">
              <a:solidFill>
                <a:srgbClr val="2C568E"/>
              </a:solidFill>
              <a:latin typeface="Lato Black" panose="020F0502020204030203" pitchFamily="34" charset="0"/>
              <a:ea typeface="Lato Black" panose="020F0502020204030203" pitchFamily="34" charset="0"/>
              <a:cs typeface="Lato Black" panose="020F0502020204030203" pitchFamily="34" charset="0"/>
            </a:rPr>
            <a:pPr/>
            <a:t>20.84%</a:t>
          </a:fld>
          <a:endParaRPr lang="en-IN" sz="1600">
            <a:solidFill>
              <a:srgbClr val="2C568E"/>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7</xdr:col>
      <xdr:colOff>63500</xdr:colOff>
      <xdr:row>8</xdr:row>
      <xdr:rowOff>154214</xdr:rowOff>
    </xdr:from>
    <xdr:to>
      <xdr:col>8</xdr:col>
      <xdr:colOff>90616</xdr:colOff>
      <xdr:row>11</xdr:row>
      <xdr:rowOff>36286</xdr:rowOff>
    </xdr:to>
    <xdr:pic>
      <xdr:nvPicPr>
        <xdr:cNvPr id="41" name="Picture 40">
          <a:extLst>
            <a:ext uri="{FF2B5EF4-FFF2-40B4-BE49-F238E27FC236}">
              <a16:creationId xmlns:a16="http://schemas.microsoft.com/office/drawing/2014/main" id="{4AB0FDF6-ED91-9C1B-A7DF-B9AC476282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18000" y="1605643"/>
          <a:ext cx="634902" cy="426357"/>
        </a:xfrm>
        <a:prstGeom prst="rect">
          <a:avLst/>
        </a:prstGeom>
      </xdr:spPr>
    </xdr:pic>
    <xdr:clientData/>
  </xdr:twoCellAnchor>
  <xdr:twoCellAnchor editAs="oneCell">
    <xdr:from>
      <xdr:col>11</xdr:col>
      <xdr:colOff>471716</xdr:colOff>
      <xdr:row>8</xdr:row>
      <xdr:rowOff>45358</xdr:rowOff>
    </xdr:from>
    <xdr:to>
      <xdr:col>12</xdr:col>
      <xdr:colOff>462643</xdr:colOff>
      <xdr:row>11</xdr:row>
      <xdr:rowOff>99786</xdr:rowOff>
    </xdr:to>
    <xdr:pic>
      <xdr:nvPicPr>
        <xdr:cNvPr id="43" name="Picture 42">
          <a:extLst>
            <a:ext uri="{FF2B5EF4-FFF2-40B4-BE49-F238E27FC236}">
              <a16:creationId xmlns:a16="http://schemas.microsoft.com/office/drawing/2014/main" id="{79D26C11-1CD3-D7D1-7842-B34A0F7363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66430" y="1496787"/>
          <a:ext cx="598713" cy="598713"/>
        </a:xfrm>
        <a:prstGeom prst="rect">
          <a:avLst/>
        </a:prstGeom>
      </xdr:spPr>
    </xdr:pic>
    <xdr:clientData/>
  </xdr:twoCellAnchor>
  <xdr:twoCellAnchor editAs="oneCell">
    <xdr:from>
      <xdr:col>21</xdr:col>
      <xdr:colOff>154213</xdr:colOff>
      <xdr:row>8</xdr:row>
      <xdr:rowOff>154214</xdr:rowOff>
    </xdr:from>
    <xdr:to>
      <xdr:col>22</xdr:col>
      <xdr:colOff>28094</xdr:colOff>
      <xdr:row>11</xdr:row>
      <xdr:rowOff>45357</xdr:rowOff>
    </xdr:to>
    <xdr:pic>
      <xdr:nvPicPr>
        <xdr:cNvPr id="45" name="Picture 44">
          <a:extLst>
            <a:ext uri="{FF2B5EF4-FFF2-40B4-BE49-F238E27FC236}">
              <a16:creationId xmlns:a16="http://schemas.microsoft.com/office/drawing/2014/main" id="{86061C58-B565-0490-5A2D-B8C2CE1E31E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926784" y="1605643"/>
          <a:ext cx="481667" cy="435428"/>
        </a:xfrm>
        <a:prstGeom prst="rect">
          <a:avLst/>
        </a:prstGeom>
      </xdr:spPr>
    </xdr:pic>
    <xdr:clientData/>
  </xdr:twoCellAnchor>
  <xdr:twoCellAnchor editAs="oneCell">
    <xdr:from>
      <xdr:col>16</xdr:col>
      <xdr:colOff>453572</xdr:colOff>
      <xdr:row>8</xdr:row>
      <xdr:rowOff>117930</xdr:rowOff>
    </xdr:from>
    <xdr:to>
      <xdr:col>17</xdr:col>
      <xdr:colOff>235395</xdr:colOff>
      <xdr:row>10</xdr:row>
      <xdr:rowOff>117928</xdr:rowOff>
    </xdr:to>
    <xdr:pic>
      <xdr:nvPicPr>
        <xdr:cNvPr id="49" name="Picture 48">
          <a:extLst>
            <a:ext uri="{FF2B5EF4-FFF2-40B4-BE49-F238E27FC236}">
              <a16:creationId xmlns:a16="http://schemas.microsoft.com/office/drawing/2014/main" id="{6CFA9234-C988-5F8B-D2B7-5E6E88B043E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87215" y="1569359"/>
          <a:ext cx="389609" cy="362855"/>
        </a:xfrm>
        <a:prstGeom prst="rect">
          <a:avLst/>
        </a:prstGeom>
      </xdr:spPr>
    </xdr:pic>
    <xdr:clientData/>
  </xdr:twoCellAnchor>
  <xdr:twoCellAnchor>
    <xdr:from>
      <xdr:col>3</xdr:col>
      <xdr:colOff>123702</xdr:colOff>
      <xdr:row>33</xdr:row>
      <xdr:rowOff>59764</xdr:rowOff>
    </xdr:from>
    <xdr:to>
      <xdr:col>10</xdr:col>
      <xdr:colOff>395943</xdr:colOff>
      <xdr:row>48</xdr:row>
      <xdr:rowOff>30842</xdr:rowOff>
    </xdr:to>
    <xdr:graphicFrame macro="">
      <xdr:nvGraphicFramePr>
        <xdr:cNvPr id="59" name="Chart 58">
          <a:extLst>
            <a:ext uri="{FF2B5EF4-FFF2-40B4-BE49-F238E27FC236}">
              <a16:creationId xmlns:a16="http://schemas.microsoft.com/office/drawing/2014/main" id="{69D998BF-9047-4AA8-AFD7-6B0263150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336014</xdr:colOff>
      <xdr:row>18</xdr:row>
      <xdr:rowOff>131678</xdr:rowOff>
    </xdr:from>
    <xdr:to>
      <xdr:col>22</xdr:col>
      <xdr:colOff>152936</xdr:colOff>
      <xdr:row>31</xdr:row>
      <xdr:rowOff>34795</xdr:rowOff>
    </xdr:to>
    <xdr:graphicFrame macro="">
      <xdr:nvGraphicFramePr>
        <xdr:cNvPr id="61" name="Chart 60">
          <a:extLst>
            <a:ext uri="{FF2B5EF4-FFF2-40B4-BE49-F238E27FC236}">
              <a16:creationId xmlns:a16="http://schemas.microsoft.com/office/drawing/2014/main" id="{815A6CA1-9E08-4D54-AD6C-600FB1216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555009</xdr:colOff>
      <xdr:row>36</xdr:row>
      <xdr:rowOff>44532</xdr:rowOff>
    </xdr:from>
    <xdr:to>
      <xdr:col>17</xdr:col>
      <xdr:colOff>62676</xdr:colOff>
      <xdr:row>48</xdr:row>
      <xdr:rowOff>79168</xdr:rowOff>
    </xdr:to>
    <xdr:graphicFrame macro="">
      <xdr:nvGraphicFramePr>
        <xdr:cNvPr id="75" name="Chart 74">
          <a:extLst>
            <a:ext uri="{FF2B5EF4-FFF2-40B4-BE49-F238E27FC236}">
              <a16:creationId xmlns:a16="http://schemas.microsoft.com/office/drawing/2014/main" id="{05CC0E7D-E95A-489A-9700-7906C9C5C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329871</xdr:colOff>
      <xdr:row>34</xdr:row>
      <xdr:rowOff>27216</xdr:rowOff>
    </xdr:from>
    <xdr:to>
      <xdr:col>23</xdr:col>
      <xdr:colOff>69273</xdr:colOff>
      <xdr:row>48</xdr:row>
      <xdr:rowOff>27216</xdr:rowOff>
    </xdr:to>
    <xdr:graphicFrame macro="">
      <xdr:nvGraphicFramePr>
        <xdr:cNvPr id="76" name="Chart 75">
          <a:extLst>
            <a:ext uri="{FF2B5EF4-FFF2-40B4-BE49-F238E27FC236}">
              <a16:creationId xmlns:a16="http://schemas.microsoft.com/office/drawing/2014/main" id="{D6D48A6C-F9F2-4A8F-BDD3-6A554A189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54427</xdr:colOff>
      <xdr:row>32</xdr:row>
      <xdr:rowOff>145144</xdr:rowOff>
    </xdr:from>
    <xdr:to>
      <xdr:col>14</xdr:col>
      <xdr:colOff>544285</xdr:colOff>
      <xdr:row>35</xdr:row>
      <xdr:rowOff>27216</xdr:rowOff>
    </xdr:to>
    <xdr:sp macro="" textlink="">
      <xdr:nvSpPr>
        <xdr:cNvPr id="20" name="TextBox 19">
          <a:extLst>
            <a:ext uri="{FF2B5EF4-FFF2-40B4-BE49-F238E27FC236}">
              <a16:creationId xmlns:a16="http://schemas.microsoft.com/office/drawing/2014/main" id="{3D87B173-16C8-7DC0-E162-2B166B7295D9}"/>
            </a:ext>
          </a:extLst>
        </xdr:cNvPr>
        <xdr:cNvSpPr txBox="1"/>
      </xdr:nvSpPr>
      <xdr:spPr>
        <a:xfrm>
          <a:off x="6141356" y="5950858"/>
          <a:ext cx="2921000" cy="42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dk1"/>
              </a:solidFill>
              <a:effectLst/>
              <a:latin typeface="+mn-lt"/>
              <a:ea typeface="+mn-ea"/>
              <a:cs typeface="+mn-cs"/>
            </a:rPr>
            <a:t>YEARLY SIP Contribution Trend</a:t>
          </a:r>
          <a:endParaRPr lang="en-IN" sz="1600">
            <a:effectLst/>
          </a:endParaRPr>
        </a:p>
        <a:p>
          <a:endParaRPr lang="en-IN" sz="1100"/>
        </a:p>
      </xdr:txBody>
    </xdr:sp>
    <xdr:clientData/>
  </xdr:twoCellAnchor>
  <xdr:twoCellAnchor>
    <xdr:from>
      <xdr:col>9</xdr:col>
      <xdr:colOff>380467</xdr:colOff>
      <xdr:row>32</xdr:row>
      <xdr:rowOff>146745</xdr:rowOff>
    </xdr:from>
    <xdr:to>
      <xdr:col>9</xdr:col>
      <xdr:colOff>398610</xdr:colOff>
      <xdr:row>48</xdr:row>
      <xdr:rowOff>65102</xdr:rowOff>
    </xdr:to>
    <xdr:cxnSp macro="">
      <xdr:nvCxnSpPr>
        <xdr:cNvPr id="23" name="Straight Connector 22">
          <a:extLst>
            <a:ext uri="{FF2B5EF4-FFF2-40B4-BE49-F238E27FC236}">
              <a16:creationId xmlns:a16="http://schemas.microsoft.com/office/drawing/2014/main" id="{BE929A2C-5AE6-BE27-4174-CE1EF532A1B2}"/>
            </a:ext>
          </a:extLst>
        </xdr:cNvPr>
        <xdr:cNvCxnSpPr/>
      </xdr:nvCxnSpPr>
      <xdr:spPr>
        <a:xfrm>
          <a:off x="5893761" y="6123216"/>
          <a:ext cx="18143" cy="290659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52294</xdr:colOff>
      <xdr:row>32</xdr:row>
      <xdr:rowOff>127000</xdr:rowOff>
    </xdr:from>
    <xdr:to>
      <xdr:col>17</xdr:col>
      <xdr:colOff>99785</xdr:colOff>
      <xdr:row>48</xdr:row>
      <xdr:rowOff>27215</xdr:rowOff>
    </xdr:to>
    <xdr:cxnSp macro="">
      <xdr:nvCxnSpPr>
        <xdr:cNvPr id="26" name="Straight Connector 25">
          <a:extLst>
            <a:ext uri="{FF2B5EF4-FFF2-40B4-BE49-F238E27FC236}">
              <a16:creationId xmlns:a16="http://schemas.microsoft.com/office/drawing/2014/main" id="{FC081AF9-702E-D80F-C4A3-C72C5D753894}"/>
            </a:ext>
          </a:extLst>
        </xdr:cNvPr>
        <xdr:cNvCxnSpPr/>
      </xdr:nvCxnSpPr>
      <xdr:spPr>
        <a:xfrm>
          <a:off x="10393723" y="5932714"/>
          <a:ext cx="47491" cy="280307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566699</xdr:colOff>
      <xdr:row>32</xdr:row>
      <xdr:rowOff>108859</xdr:rowOff>
    </xdr:from>
    <xdr:to>
      <xdr:col>8</xdr:col>
      <xdr:colOff>230523</xdr:colOff>
      <xdr:row>34</xdr:row>
      <xdr:rowOff>41624</xdr:rowOff>
    </xdr:to>
    <xdr:sp macro="" textlink="">
      <xdr:nvSpPr>
        <xdr:cNvPr id="44" name="TextBox 43">
          <a:extLst>
            <a:ext uri="{FF2B5EF4-FFF2-40B4-BE49-F238E27FC236}">
              <a16:creationId xmlns:a16="http://schemas.microsoft.com/office/drawing/2014/main" id="{B30E2846-F209-DE5C-9A5A-F262C5D0BBD5}"/>
            </a:ext>
          </a:extLst>
        </xdr:cNvPr>
        <xdr:cNvSpPr txBox="1"/>
      </xdr:nvSpPr>
      <xdr:spPr>
        <a:xfrm>
          <a:off x="2403663" y="5914573"/>
          <a:ext cx="2725431" cy="295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600" b="0" i="0" baseline="0">
              <a:solidFill>
                <a:schemeClr val="dk1"/>
              </a:solidFill>
              <a:effectLst/>
              <a:latin typeface="+mn-lt"/>
              <a:ea typeface="+mn-ea"/>
              <a:cs typeface="+mn-cs"/>
            </a:rPr>
            <a:t>FUND TYPE BY RETURNS</a:t>
          </a:r>
          <a:endParaRPr lang="en-IN" sz="1600" b="0">
            <a:effectLst/>
          </a:endParaRPr>
        </a:p>
        <a:p>
          <a:endParaRPr lang="en-IN" sz="1100"/>
        </a:p>
      </xdr:txBody>
    </xdr:sp>
    <xdr:clientData/>
  </xdr:twoCellAnchor>
  <xdr:twoCellAnchor>
    <xdr:from>
      <xdr:col>17</xdr:col>
      <xdr:colOff>199571</xdr:colOff>
      <xdr:row>32</xdr:row>
      <xdr:rowOff>81643</xdr:rowOff>
    </xdr:from>
    <xdr:to>
      <xdr:col>22</xdr:col>
      <xdr:colOff>580572</xdr:colOff>
      <xdr:row>34</xdr:row>
      <xdr:rowOff>145143</xdr:rowOff>
    </xdr:to>
    <xdr:sp macro="" textlink="">
      <xdr:nvSpPr>
        <xdr:cNvPr id="46" name="TextBox 45">
          <a:extLst>
            <a:ext uri="{FF2B5EF4-FFF2-40B4-BE49-F238E27FC236}">
              <a16:creationId xmlns:a16="http://schemas.microsoft.com/office/drawing/2014/main" id="{964796FC-37E8-EB8F-D76B-B085C063394B}"/>
            </a:ext>
          </a:extLst>
        </xdr:cNvPr>
        <xdr:cNvSpPr txBox="1"/>
      </xdr:nvSpPr>
      <xdr:spPr>
        <a:xfrm>
          <a:off x="10541000" y="5887357"/>
          <a:ext cx="3419929"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dk1"/>
              </a:solidFill>
              <a:effectLst/>
              <a:latin typeface="+mn-lt"/>
              <a:ea typeface="+mn-ea"/>
              <a:cs typeface="+mn-cs"/>
            </a:rPr>
            <a:t>CURRENT VALUE BY FUND MANAGER</a:t>
          </a:r>
          <a:endParaRPr lang="en-IN" sz="1600">
            <a:effectLst/>
          </a:endParaRPr>
        </a:p>
        <a:p>
          <a:endParaRPr lang="en-IN" sz="1100"/>
        </a:p>
      </xdr:txBody>
    </xdr:sp>
    <xdr:clientData/>
  </xdr:twoCellAnchor>
  <xdr:twoCellAnchor>
    <xdr:from>
      <xdr:col>12</xdr:col>
      <xdr:colOff>72571</xdr:colOff>
      <xdr:row>15</xdr:row>
      <xdr:rowOff>36284</xdr:rowOff>
    </xdr:from>
    <xdr:to>
      <xdr:col>12</xdr:col>
      <xdr:colOff>90714</xdr:colOff>
      <xdr:row>32</xdr:row>
      <xdr:rowOff>27214</xdr:rowOff>
    </xdr:to>
    <xdr:cxnSp macro="">
      <xdr:nvCxnSpPr>
        <xdr:cNvPr id="48" name="Straight Connector 47">
          <a:extLst>
            <a:ext uri="{FF2B5EF4-FFF2-40B4-BE49-F238E27FC236}">
              <a16:creationId xmlns:a16="http://schemas.microsoft.com/office/drawing/2014/main" id="{39A375B9-F4F9-7460-D34C-BE5B020AB237}"/>
            </a:ext>
          </a:extLst>
        </xdr:cNvPr>
        <xdr:cNvCxnSpPr/>
      </xdr:nvCxnSpPr>
      <xdr:spPr>
        <a:xfrm>
          <a:off x="7375071" y="2757713"/>
          <a:ext cx="18143" cy="307521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359557</xdr:colOff>
      <xdr:row>15</xdr:row>
      <xdr:rowOff>61852</xdr:rowOff>
    </xdr:from>
    <xdr:to>
      <xdr:col>17</xdr:col>
      <xdr:colOff>404915</xdr:colOff>
      <xdr:row>18</xdr:row>
      <xdr:rowOff>7423</xdr:rowOff>
    </xdr:to>
    <xdr:sp macro="" textlink="">
      <xdr:nvSpPr>
        <xdr:cNvPr id="50" name="TextBox 49">
          <a:extLst>
            <a:ext uri="{FF2B5EF4-FFF2-40B4-BE49-F238E27FC236}">
              <a16:creationId xmlns:a16="http://schemas.microsoft.com/office/drawing/2014/main" id="{EBB18AD4-DFAC-72F1-6441-FE0F2DB0889E}"/>
            </a:ext>
          </a:extLst>
        </xdr:cNvPr>
        <xdr:cNvSpPr txBox="1"/>
      </xdr:nvSpPr>
      <xdr:spPr>
        <a:xfrm>
          <a:off x="7690921" y="2783281"/>
          <a:ext cx="3096656" cy="48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600" b="0" i="0" baseline="0">
              <a:solidFill>
                <a:schemeClr val="dk1"/>
              </a:solidFill>
              <a:effectLst/>
              <a:latin typeface="+mn-lt"/>
              <a:ea typeface="+mn-ea"/>
              <a:cs typeface="+mn-cs"/>
            </a:rPr>
            <a:t>INVESTMENT VS CURRENT VALUE </a:t>
          </a:r>
          <a:endParaRPr lang="en-IN" sz="1600">
            <a:effectLst/>
          </a:endParaRPr>
        </a:p>
        <a:p>
          <a:endParaRPr lang="en-IN" sz="1100"/>
        </a:p>
      </xdr:txBody>
    </xdr:sp>
    <xdr:clientData/>
  </xdr:twoCellAnchor>
  <xdr:twoCellAnchor>
    <xdr:from>
      <xdr:col>3</xdr:col>
      <xdr:colOff>514597</xdr:colOff>
      <xdr:row>15</xdr:row>
      <xdr:rowOff>60203</xdr:rowOff>
    </xdr:from>
    <xdr:to>
      <xdr:col>10</xdr:col>
      <xdr:colOff>160811</xdr:colOff>
      <xdr:row>17</xdr:row>
      <xdr:rowOff>60202</xdr:rowOff>
    </xdr:to>
    <xdr:sp macro="" textlink="">
      <xdr:nvSpPr>
        <xdr:cNvPr id="51" name="TextBox 50">
          <a:extLst>
            <a:ext uri="{FF2B5EF4-FFF2-40B4-BE49-F238E27FC236}">
              <a16:creationId xmlns:a16="http://schemas.microsoft.com/office/drawing/2014/main" id="{D5F27D50-278A-1F65-B152-A8566BE71242}"/>
            </a:ext>
          </a:extLst>
        </xdr:cNvPr>
        <xdr:cNvSpPr txBox="1"/>
      </xdr:nvSpPr>
      <xdr:spPr>
        <a:xfrm>
          <a:off x="2345376" y="2781632"/>
          <a:ext cx="3926279" cy="36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tx1"/>
              </a:solidFill>
              <a:effectLst/>
              <a:latin typeface="+mn-lt"/>
              <a:ea typeface="+mn-ea"/>
              <a:cs typeface="+mn-cs"/>
            </a:rPr>
            <a:t>INVESTMENT DISTRIBUTION BY FUND TYPE </a:t>
          </a:r>
          <a:endParaRPr lang="en-IN" sz="1600">
            <a:solidFill>
              <a:schemeClr val="tx1"/>
            </a:solidFill>
            <a:effectLst/>
          </a:endParaRPr>
        </a:p>
        <a:p>
          <a:endParaRPr lang="en-IN" sz="1100"/>
        </a:p>
      </xdr:txBody>
    </xdr:sp>
    <xdr:clientData/>
  </xdr:twoCellAnchor>
  <xdr:twoCellAnchor editAs="oneCell">
    <xdr:from>
      <xdr:col>0</xdr:col>
      <xdr:colOff>254001</xdr:colOff>
      <xdr:row>17</xdr:row>
      <xdr:rowOff>163285</xdr:rowOff>
    </xdr:from>
    <xdr:to>
      <xdr:col>3</xdr:col>
      <xdr:colOff>281214</xdr:colOff>
      <xdr:row>30</xdr:row>
      <xdr:rowOff>54428</xdr:rowOff>
    </xdr:to>
    <mc:AlternateContent xmlns:mc="http://schemas.openxmlformats.org/markup-compatibility/2006" xmlns:a14="http://schemas.microsoft.com/office/drawing/2010/main">
      <mc:Choice Requires="a14">
        <xdr:graphicFrame macro="">
          <xdr:nvGraphicFramePr>
            <xdr:cNvPr id="27" name="Fund Manager 1">
              <a:extLst>
                <a:ext uri="{FF2B5EF4-FFF2-40B4-BE49-F238E27FC236}">
                  <a16:creationId xmlns:a16="http://schemas.microsoft.com/office/drawing/2014/main" id="{F731DA50-2154-4DB7-AA96-978ACA198795}"/>
                </a:ext>
              </a:extLst>
            </xdr:cNvPr>
            <xdr:cNvGraphicFramePr/>
          </xdr:nvGraphicFramePr>
          <xdr:xfrm>
            <a:off x="0" y="0"/>
            <a:ext cx="0" cy="0"/>
          </xdr:xfrm>
          <a:graphic>
            <a:graphicData uri="http://schemas.microsoft.com/office/drawing/2010/slicer">
              <sle:slicer xmlns:sle="http://schemas.microsoft.com/office/drawing/2010/slicer" name="Fund Manager 1"/>
            </a:graphicData>
          </a:graphic>
        </xdr:graphicFrame>
      </mc:Choice>
      <mc:Fallback xmlns="">
        <xdr:sp macro="" textlink="">
          <xdr:nvSpPr>
            <xdr:cNvPr id="0" name=""/>
            <xdr:cNvSpPr>
              <a:spLocks noTextEdit="1"/>
            </xdr:cNvSpPr>
          </xdr:nvSpPr>
          <xdr:spPr>
            <a:xfrm>
              <a:off x="254001" y="3401785"/>
              <a:ext cx="1836963" cy="2367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235858</xdr:colOff>
      <xdr:row>5</xdr:row>
      <xdr:rowOff>99787</xdr:rowOff>
    </xdr:from>
    <xdr:to>
      <xdr:col>3</xdr:col>
      <xdr:colOff>308427</xdr:colOff>
      <xdr:row>15</xdr:row>
      <xdr:rowOff>99787</xdr:rowOff>
    </xdr:to>
    <mc:AlternateContent xmlns:mc="http://schemas.openxmlformats.org/markup-compatibility/2006" xmlns:a14="http://schemas.microsoft.com/office/drawing/2010/main">
      <mc:Choice Requires="a14">
        <xdr:graphicFrame macro="">
          <xdr:nvGraphicFramePr>
            <xdr:cNvPr id="40" name="Fund Type 3">
              <a:extLst>
                <a:ext uri="{FF2B5EF4-FFF2-40B4-BE49-F238E27FC236}">
                  <a16:creationId xmlns:a16="http://schemas.microsoft.com/office/drawing/2014/main" id="{54B7DF28-2A11-47F6-8A5D-7C292292B076}"/>
                </a:ext>
              </a:extLst>
            </xdr:cNvPr>
            <xdr:cNvGraphicFramePr/>
          </xdr:nvGraphicFramePr>
          <xdr:xfrm>
            <a:off x="0" y="0"/>
            <a:ext cx="0" cy="0"/>
          </xdr:xfrm>
          <a:graphic>
            <a:graphicData uri="http://schemas.microsoft.com/office/drawing/2010/slicer">
              <sle:slicer xmlns:sle="http://schemas.microsoft.com/office/drawing/2010/slicer" name="Fund Type 3"/>
            </a:graphicData>
          </a:graphic>
        </xdr:graphicFrame>
      </mc:Choice>
      <mc:Fallback xmlns="">
        <xdr:sp macro="" textlink="">
          <xdr:nvSpPr>
            <xdr:cNvPr id="0" name=""/>
            <xdr:cNvSpPr>
              <a:spLocks noTextEdit="1"/>
            </xdr:cNvSpPr>
          </xdr:nvSpPr>
          <xdr:spPr>
            <a:xfrm>
              <a:off x="235858" y="1006930"/>
              <a:ext cx="1903348" cy="1814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263073</xdr:colOff>
      <xdr:row>32</xdr:row>
      <xdr:rowOff>156934</xdr:rowOff>
    </xdr:from>
    <xdr:to>
      <xdr:col>3</xdr:col>
      <xdr:colOff>268516</xdr:colOff>
      <xdr:row>46</xdr:row>
      <xdr:rowOff>141059</xdr:rowOff>
    </xdr:to>
    <mc:AlternateContent xmlns:mc="http://schemas.openxmlformats.org/markup-compatibility/2006" xmlns:a14="http://schemas.microsoft.com/office/drawing/2010/main">
      <mc:Choice Requires="a14">
        <xdr:graphicFrame macro="">
          <xdr:nvGraphicFramePr>
            <xdr:cNvPr id="42" name="AMC 1">
              <a:extLst>
                <a:ext uri="{FF2B5EF4-FFF2-40B4-BE49-F238E27FC236}">
                  <a16:creationId xmlns:a16="http://schemas.microsoft.com/office/drawing/2014/main" id="{B7D2A8A5-8807-43E2-8265-1BC739A35994}"/>
                </a:ext>
              </a:extLst>
            </xdr:cNvPr>
            <xdr:cNvGraphicFramePr/>
          </xdr:nvGraphicFramePr>
          <xdr:xfrm>
            <a:off x="0" y="0"/>
            <a:ext cx="0" cy="0"/>
          </xdr:xfrm>
          <a:graphic>
            <a:graphicData uri="http://schemas.microsoft.com/office/drawing/2010/slicer">
              <sle:slicer xmlns:sle="http://schemas.microsoft.com/office/drawing/2010/slicer" name="AMC 1"/>
            </a:graphicData>
          </a:graphic>
        </xdr:graphicFrame>
      </mc:Choice>
      <mc:Fallback xmlns="">
        <xdr:sp macro="" textlink="">
          <xdr:nvSpPr>
            <xdr:cNvPr id="0" name=""/>
            <xdr:cNvSpPr>
              <a:spLocks noTextEdit="1"/>
            </xdr:cNvSpPr>
          </xdr:nvSpPr>
          <xdr:spPr>
            <a:xfrm>
              <a:off x="263073" y="6252934"/>
              <a:ext cx="1815193" cy="265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580571</xdr:colOff>
      <xdr:row>3</xdr:row>
      <xdr:rowOff>145142</xdr:rowOff>
    </xdr:from>
    <xdr:to>
      <xdr:col>21</xdr:col>
      <xdr:colOff>465810</xdr:colOff>
      <xdr:row>6</xdr:row>
      <xdr:rowOff>92850</xdr:rowOff>
    </xdr:to>
    <xdr:pic>
      <xdr:nvPicPr>
        <xdr:cNvPr id="5" name="Picture 4">
          <a:hlinkClick xmlns:r="http://schemas.openxmlformats.org/officeDocument/2006/relationships" r:id="rId10"/>
          <a:extLst>
            <a:ext uri="{FF2B5EF4-FFF2-40B4-BE49-F238E27FC236}">
              <a16:creationId xmlns:a16="http://schemas.microsoft.com/office/drawing/2014/main" id="{46F46765-079D-440D-8822-002C9C6B361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745357" y="689428"/>
          <a:ext cx="493024" cy="491993"/>
        </a:xfrm>
        <a:prstGeom prst="rect">
          <a:avLst/>
        </a:prstGeom>
      </xdr:spPr>
    </xdr:pic>
    <xdr:clientData/>
  </xdr:twoCellAnchor>
  <xdr:twoCellAnchor editAs="oneCell">
    <xdr:from>
      <xdr:col>19</xdr:col>
      <xdr:colOff>281215</xdr:colOff>
      <xdr:row>3</xdr:row>
      <xdr:rowOff>117929</xdr:rowOff>
    </xdr:from>
    <xdr:to>
      <xdr:col>20</xdr:col>
      <xdr:colOff>169008</xdr:colOff>
      <xdr:row>6</xdr:row>
      <xdr:rowOff>46426</xdr:rowOff>
    </xdr:to>
    <xdr:pic>
      <xdr:nvPicPr>
        <xdr:cNvPr id="6" name="Picture 5">
          <a:hlinkClick xmlns:r="http://schemas.openxmlformats.org/officeDocument/2006/relationships" r:id="rId12"/>
          <a:extLst>
            <a:ext uri="{FF2B5EF4-FFF2-40B4-BE49-F238E27FC236}">
              <a16:creationId xmlns:a16="http://schemas.microsoft.com/office/drawing/2014/main" id="{91D1DCDF-A641-4E07-81B5-41594F1032B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838215" y="662215"/>
          <a:ext cx="495579" cy="472782"/>
        </a:xfrm>
        <a:prstGeom prst="rect">
          <a:avLst/>
        </a:prstGeom>
      </xdr:spPr>
    </xdr:pic>
    <xdr:clientData/>
  </xdr:twoCellAnchor>
  <xdr:twoCellAnchor>
    <xdr:from>
      <xdr:col>20</xdr:col>
      <xdr:colOff>308428</xdr:colOff>
      <xdr:row>2</xdr:row>
      <xdr:rowOff>99786</xdr:rowOff>
    </xdr:from>
    <xdr:to>
      <xdr:col>20</xdr:col>
      <xdr:colOff>317500</xdr:colOff>
      <xdr:row>6</xdr:row>
      <xdr:rowOff>154215</xdr:rowOff>
    </xdr:to>
    <xdr:cxnSp macro="">
      <xdr:nvCxnSpPr>
        <xdr:cNvPr id="10" name="Straight Connector 9">
          <a:extLst>
            <a:ext uri="{FF2B5EF4-FFF2-40B4-BE49-F238E27FC236}">
              <a16:creationId xmlns:a16="http://schemas.microsoft.com/office/drawing/2014/main" id="{4174CF19-8A8F-0F44-B9FF-515A65017639}"/>
            </a:ext>
          </a:extLst>
        </xdr:cNvPr>
        <xdr:cNvCxnSpPr/>
      </xdr:nvCxnSpPr>
      <xdr:spPr>
        <a:xfrm>
          <a:off x="12473214" y="462643"/>
          <a:ext cx="9072" cy="7801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598714</xdr:colOff>
      <xdr:row>18</xdr:row>
      <xdr:rowOff>0</xdr:rowOff>
    </xdr:from>
    <xdr:to>
      <xdr:col>11</xdr:col>
      <xdr:colOff>519545</xdr:colOff>
      <xdr:row>31</xdr:row>
      <xdr:rowOff>117928</xdr:rowOff>
    </xdr:to>
    <xdr:graphicFrame macro="">
      <xdr:nvGraphicFramePr>
        <xdr:cNvPr id="12" name="Chart 11">
          <a:extLst>
            <a:ext uri="{FF2B5EF4-FFF2-40B4-BE49-F238E27FC236}">
              <a16:creationId xmlns:a16="http://schemas.microsoft.com/office/drawing/2014/main" id="{A6AC6CC5-3780-49FF-B76B-2FDE0B213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263072</xdr:colOff>
      <xdr:row>3</xdr:row>
      <xdr:rowOff>99786</xdr:rowOff>
    </xdr:from>
    <xdr:to>
      <xdr:col>15</xdr:col>
      <xdr:colOff>208644</xdr:colOff>
      <xdr:row>7</xdr:row>
      <xdr:rowOff>36286</xdr:rowOff>
    </xdr:to>
    <xdr:sp macro="" textlink="">
      <xdr:nvSpPr>
        <xdr:cNvPr id="3" name="TextBox 2">
          <a:extLst>
            <a:ext uri="{FF2B5EF4-FFF2-40B4-BE49-F238E27FC236}">
              <a16:creationId xmlns:a16="http://schemas.microsoft.com/office/drawing/2014/main" id="{F86B7638-A87C-E446-682A-EA8DABEDE13B}"/>
            </a:ext>
          </a:extLst>
        </xdr:cNvPr>
        <xdr:cNvSpPr txBox="1"/>
      </xdr:nvSpPr>
      <xdr:spPr>
        <a:xfrm>
          <a:off x="3302001" y="644072"/>
          <a:ext cx="6032500" cy="662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effectLst>
                <a:outerShdw blurRad="50800" dist="38100" dir="2700000" algn="tl" rotWithShape="0">
                  <a:prstClr val="black">
                    <a:alpha val="40000"/>
                  </a:prstClr>
                </a:outerShdw>
              </a:effectLst>
            </a:rPr>
            <a:t>MUTUAL FUND SIP INVESTMENT </a:t>
          </a:r>
          <a:r>
            <a:rPr lang="en-US" sz="2400">
              <a:effectLst>
                <a:outerShdw blurRad="50800" dist="38100" dir="2700000" algn="tl" rotWithShape="0">
                  <a:prstClr val="black">
                    <a:alpha val="40000"/>
                  </a:prstClr>
                </a:outerShdw>
              </a:effectLst>
            </a:rPr>
            <a:t>DASHBOARD </a:t>
          </a:r>
          <a:endParaRPr lang="en-IN" sz="2400">
            <a:effectLst>
              <a:outerShdw blurRad="50800" dist="38100" dir="2700000" algn="tl" rotWithShape="0">
                <a:prstClr val="black">
                  <a:alpha val="40000"/>
                </a:prstClr>
              </a:outerShdw>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768350</xdr:colOff>
      <xdr:row>7</xdr:row>
      <xdr:rowOff>114301</xdr:rowOff>
    </xdr:from>
    <xdr:to>
      <xdr:col>9</xdr:col>
      <xdr:colOff>146050</xdr:colOff>
      <xdr:row>11</xdr:row>
      <xdr:rowOff>12700</xdr:rowOff>
    </xdr:to>
    <mc:AlternateContent xmlns:mc="http://schemas.openxmlformats.org/markup-compatibility/2006" xmlns:a14="http://schemas.microsoft.com/office/drawing/2010/main">
      <mc:Choice Requires="a14">
        <xdr:graphicFrame macro="">
          <xdr:nvGraphicFramePr>
            <xdr:cNvPr id="3" name="Fund Type">
              <a:extLst>
                <a:ext uri="{FF2B5EF4-FFF2-40B4-BE49-F238E27FC236}">
                  <a16:creationId xmlns:a16="http://schemas.microsoft.com/office/drawing/2014/main" id="{14F5F4D4-4900-F20B-B255-AFE02BF15DD7}"/>
                </a:ext>
              </a:extLst>
            </xdr:cNvPr>
            <xdr:cNvGraphicFramePr/>
          </xdr:nvGraphicFramePr>
          <xdr:xfrm>
            <a:off x="0" y="0"/>
            <a:ext cx="0" cy="0"/>
          </xdr:xfrm>
          <a:graphic>
            <a:graphicData uri="http://schemas.microsoft.com/office/drawing/2010/slicer">
              <sle:slicer xmlns:sle="http://schemas.microsoft.com/office/drawing/2010/slicer" name="Fund Type"/>
            </a:graphicData>
          </a:graphic>
        </xdr:graphicFrame>
      </mc:Choice>
      <mc:Fallback xmlns="">
        <xdr:sp macro="" textlink="">
          <xdr:nvSpPr>
            <xdr:cNvPr id="0" name=""/>
            <xdr:cNvSpPr>
              <a:spLocks noTextEdit="1"/>
            </xdr:cNvSpPr>
          </xdr:nvSpPr>
          <xdr:spPr>
            <a:xfrm>
              <a:off x="4768850" y="1403351"/>
              <a:ext cx="3638550" cy="63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358775</xdr:colOff>
      <xdr:row>1</xdr:row>
      <xdr:rowOff>120650</xdr:rowOff>
    </xdr:from>
    <xdr:to>
      <xdr:col>6</xdr:col>
      <xdr:colOff>717177</xdr:colOff>
      <xdr:row>11</xdr:row>
      <xdr:rowOff>50800</xdr:rowOff>
    </xdr:to>
    <xdr:graphicFrame macro="">
      <xdr:nvGraphicFramePr>
        <xdr:cNvPr id="2" name="Chart 1">
          <a:extLst>
            <a:ext uri="{FF2B5EF4-FFF2-40B4-BE49-F238E27FC236}">
              <a16:creationId xmlns:a16="http://schemas.microsoft.com/office/drawing/2014/main" id="{61C77B5B-78D8-3BDA-9DBA-63F1ACDC7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156882</xdr:colOff>
      <xdr:row>13</xdr:row>
      <xdr:rowOff>144929</xdr:rowOff>
    </xdr:from>
    <xdr:to>
      <xdr:col>6</xdr:col>
      <xdr:colOff>590176</xdr:colOff>
      <xdr:row>24</xdr:row>
      <xdr:rowOff>97117</xdr:rowOff>
    </xdr:to>
    <xdr:graphicFrame macro="">
      <xdr:nvGraphicFramePr>
        <xdr:cNvPr id="3" name="Chart 2">
          <a:extLst>
            <a:ext uri="{FF2B5EF4-FFF2-40B4-BE49-F238E27FC236}">
              <a16:creationId xmlns:a16="http://schemas.microsoft.com/office/drawing/2014/main" id="{0A350877-8C55-0C91-0E1B-526EFA62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34925</xdr:colOff>
      <xdr:row>16</xdr:row>
      <xdr:rowOff>171450</xdr:rowOff>
    </xdr:from>
    <xdr:to>
      <xdr:col>12</xdr:col>
      <xdr:colOff>1216025</xdr:colOff>
      <xdr:row>31</xdr:row>
      <xdr:rowOff>152400</xdr:rowOff>
    </xdr:to>
    <xdr:graphicFrame macro="">
      <xdr:nvGraphicFramePr>
        <xdr:cNvPr id="4" name="Chart 3">
          <a:extLst>
            <a:ext uri="{FF2B5EF4-FFF2-40B4-BE49-F238E27FC236}">
              <a16:creationId xmlns:a16="http://schemas.microsoft.com/office/drawing/2014/main" id="{2C5BA7A1-7B36-66AE-9118-A37E87C8C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177800</xdr:colOff>
      <xdr:row>0</xdr:row>
      <xdr:rowOff>152400</xdr:rowOff>
    </xdr:from>
    <xdr:to>
      <xdr:col>10</xdr:col>
      <xdr:colOff>95250</xdr:colOff>
      <xdr:row>13</xdr:row>
      <xdr:rowOff>38100</xdr:rowOff>
    </xdr:to>
    <xdr:graphicFrame macro="">
      <xdr:nvGraphicFramePr>
        <xdr:cNvPr id="2" name="Chart 1">
          <a:extLst>
            <a:ext uri="{FF2B5EF4-FFF2-40B4-BE49-F238E27FC236}">
              <a16:creationId xmlns:a16="http://schemas.microsoft.com/office/drawing/2014/main" id="{0B943534-84CB-A191-F849-EA982BAF6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384175</xdr:colOff>
      <xdr:row>13</xdr:row>
      <xdr:rowOff>107950</xdr:rowOff>
    </xdr:from>
    <xdr:to>
      <xdr:col>8</xdr:col>
      <xdr:colOff>146050</xdr:colOff>
      <xdr:row>27</xdr:row>
      <xdr:rowOff>107950</xdr:rowOff>
    </xdr:to>
    <xdr:graphicFrame macro="">
      <xdr:nvGraphicFramePr>
        <xdr:cNvPr id="5" name="Chart 4">
          <a:extLst>
            <a:ext uri="{FF2B5EF4-FFF2-40B4-BE49-F238E27FC236}">
              <a16:creationId xmlns:a16="http://schemas.microsoft.com/office/drawing/2014/main" id="{3945662D-92C9-E7B0-0D82-E801A035E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349250</xdr:colOff>
      <xdr:row>12</xdr:row>
      <xdr:rowOff>139701</xdr:rowOff>
    </xdr:from>
    <xdr:to>
      <xdr:col>12</xdr:col>
      <xdr:colOff>349250</xdr:colOff>
      <xdr:row>24</xdr:row>
      <xdr:rowOff>1</xdr:rowOff>
    </xdr:to>
    <mc:AlternateContent xmlns:mc="http://schemas.openxmlformats.org/markup-compatibility/2006" xmlns:a14="http://schemas.microsoft.com/office/drawing/2010/main">
      <mc:Choice Requires="a14">
        <xdr:graphicFrame macro="">
          <xdr:nvGraphicFramePr>
            <xdr:cNvPr id="3" name="Fund Type 2">
              <a:extLst>
                <a:ext uri="{FF2B5EF4-FFF2-40B4-BE49-F238E27FC236}">
                  <a16:creationId xmlns:a16="http://schemas.microsoft.com/office/drawing/2014/main" id="{6CE93DF8-EE0D-5DD8-3518-B22077D0858E}"/>
                </a:ext>
              </a:extLst>
            </xdr:cNvPr>
            <xdr:cNvGraphicFramePr/>
          </xdr:nvGraphicFramePr>
          <xdr:xfrm>
            <a:off x="0" y="0"/>
            <a:ext cx="0" cy="0"/>
          </xdr:xfrm>
          <a:graphic>
            <a:graphicData uri="http://schemas.microsoft.com/office/drawing/2010/slicer">
              <sle:slicer xmlns:sle="http://schemas.microsoft.com/office/drawing/2010/slicer" name="Fund Type 2"/>
            </a:graphicData>
          </a:graphic>
        </xdr:graphicFrame>
      </mc:Choice>
      <mc:Fallback xmlns="">
        <xdr:sp macro="" textlink="">
          <xdr:nvSpPr>
            <xdr:cNvPr id="0" name=""/>
            <xdr:cNvSpPr>
              <a:spLocks noTextEdit="1"/>
            </xdr:cNvSpPr>
          </xdr:nvSpPr>
          <xdr:spPr>
            <a:xfrm>
              <a:off x="7594600" y="2349501"/>
              <a:ext cx="1828800" cy="207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31750</xdr:colOff>
      <xdr:row>11</xdr:row>
      <xdr:rowOff>101600</xdr:rowOff>
    </xdr:from>
    <xdr:to>
      <xdr:col>16</xdr:col>
      <xdr:colOff>31750</xdr:colOff>
      <xdr:row>25</xdr:row>
      <xdr:rowOff>47625</xdr:rowOff>
    </xdr:to>
    <mc:AlternateContent xmlns:mc="http://schemas.openxmlformats.org/markup-compatibility/2006" xmlns:a14="http://schemas.microsoft.com/office/drawing/2010/main">
      <mc:Choice Requires="a14">
        <xdr:graphicFrame macro="">
          <xdr:nvGraphicFramePr>
            <xdr:cNvPr id="4" name="AMC">
              <a:extLst>
                <a:ext uri="{FF2B5EF4-FFF2-40B4-BE49-F238E27FC236}">
                  <a16:creationId xmlns:a16="http://schemas.microsoft.com/office/drawing/2014/main" id="{35D40328-AD1D-3D13-7DBB-61A854CCCC20}"/>
                </a:ext>
              </a:extLst>
            </xdr:cNvPr>
            <xdr:cNvGraphicFramePr/>
          </xdr:nvGraphicFramePr>
          <xdr:xfrm>
            <a:off x="0" y="0"/>
            <a:ext cx="0" cy="0"/>
          </xdr:xfrm>
          <a:graphic>
            <a:graphicData uri="http://schemas.microsoft.com/office/drawing/2010/slicer">
              <sle:slicer xmlns:sle="http://schemas.microsoft.com/office/drawing/2010/slicer" name="AMC"/>
            </a:graphicData>
          </a:graphic>
        </xdr:graphicFrame>
      </mc:Choice>
      <mc:Fallback xmlns="">
        <xdr:sp macro="" textlink="">
          <xdr:nvSpPr>
            <xdr:cNvPr id="0" name=""/>
            <xdr:cNvSpPr>
              <a:spLocks noTextEdit="1"/>
            </xdr:cNvSpPr>
          </xdr:nvSpPr>
          <xdr:spPr>
            <a:xfrm>
              <a:off x="9715500" y="2127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127000</xdr:colOff>
      <xdr:row>0</xdr:row>
      <xdr:rowOff>1</xdr:rowOff>
    </xdr:from>
    <xdr:to>
      <xdr:col>14</xdr:col>
      <xdr:colOff>127000</xdr:colOff>
      <xdr:row>11</xdr:row>
      <xdr:rowOff>57151</xdr:rowOff>
    </xdr:to>
    <mc:AlternateContent xmlns:mc="http://schemas.openxmlformats.org/markup-compatibility/2006" xmlns:a14="http://schemas.microsoft.com/office/drawing/2010/main">
      <mc:Choice Requires="a14">
        <xdr:graphicFrame macro="">
          <xdr:nvGraphicFramePr>
            <xdr:cNvPr id="6" name="Fund Manager">
              <a:extLst>
                <a:ext uri="{FF2B5EF4-FFF2-40B4-BE49-F238E27FC236}">
                  <a16:creationId xmlns:a16="http://schemas.microsoft.com/office/drawing/2014/main" id="{C1DFBB5F-2A3C-9DE1-F6EF-CBAE79C2F58E}"/>
                </a:ext>
              </a:extLst>
            </xdr:cNvPr>
            <xdr:cNvGraphicFramePr/>
          </xdr:nvGraphicFramePr>
          <xdr:xfrm>
            <a:off x="0" y="0"/>
            <a:ext cx="0" cy="0"/>
          </xdr:xfrm>
          <a:graphic>
            <a:graphicData uri="http://schemas.microsoft.com/office/drawing/2010/slicer">
              <sle:slicer xmlns:sle="http://schemas.microsoft.com/office/drawing/2010/slicer" name="Fund Manager"/>
            </a:graphicData>
          </a:graphic>
        </xdr:graphicFrame>
      </mc:Choice>
      <mc:Fallback xmlns="">
        <xdr:sp macro="" textlink="">
          <xdr:nvSpPr>
            <xdr:cNvPr id="0" name=""/>
            <xdr:cNvSpPr>
              <a:spLocks noTextEdit="1"/>
            </xdr:cNvSpPr>
          </xdr:nvSpPr>
          <xdr:spPr>
            <a:xfrm>
              <a:off x="8591550" y="1"/>
              <a:ext cx="1828800" cy="208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492573430" refreshedDate="45893.515092476853" createdVersion="8" refreshedVersion="8" minRefreshableVersion="3" recordCount="550" xr:uid="{F0285C2E-9B81-4E6E-B29B-4A0F2295B067}">
  <cacheSource type="worksheet">
    <worksheetSource name="Table1"/>
  </cacheSource>
  <cacheFields count="13">
    <cacheField name="Fund Name" numFmtId="0">
      <sharedItems count="10">
        <s v="Canara Robeco Emerging Equities"/>
        <s v="Parag Parikh Flexi Cap"/>
        <s v="ICICI Prudential Equity &amp; Debt"/>
        <s v="UTI Flexi Cap Fund"/>
        <s v="SBI Equity Hybrid Fund"/>
        <s v="Mirae Asset Emerging Bluechip"/>
        <s v="HDFC Balanced Advantage"/>
        <s v="Nippon India Small Cap"/>
        <s v="Axis Bluechip Fund"/>
        <s v="Kotak Standard Multicap"/>
      </sharedItems>
    </cacheField>
    <cacheField name="Fund Type" numFmtId="0">
      <sharedItems count="5">
        <s v="Hybrid"/>
        <s v="ELSS"/>
        <s v="Equity"/>
        <s v="Balanced"/>
        <s v="Debt"/>
      </sharedItems>
    </cacheField>
    <cacheField name="AMC" numFmtId="0">
      <sharedItems count="10">
        <s v="HDFC"/>
        <s v="Nippon"/>
        <s v="ICICI"/>
        <s v="UTI"/>
        <s v="Canara"/>
        <s v="SBI"/>
        <s v="Mirae"/>
        <s v="Kotak"/>
        <s v="Axis"/>
        <s v="Parag"/>
      </sharedItems>
    </cacheField>
    <cacheField name="Fund Manager" numFmtId="0">
      <sharedItems count="6">
        <s v="M. Iyer"/>
        <s v="R. Desai"/>
        <s v="P. Gupta"/>
        <s v="A. Mehta"/>
        <s v="S. Sharma"/>
        <s v="L. Banerjee"/>
      </sharedItems>
    </cacheField>
    <cacheField name="SIP Start Date" numFmtId="164">
      <sharedItems containsSemiMixedTypes="0" containsNonDate="0" containsDate="1" containsString="0" minDate="2020-01-01T00:00:00" maxDate="2024-02-09T00:00:00" count="474">
        <d v="2021-02-18T00:00:00"/>
        <d v="2021-11-19T00:00:00"/>
        <d v="2023-11-16T00:00:00"/>
        <d v="2023-01-22T00:00:00"/>
        <d v="2021-02-23T00:00:00"/>
        <d v="2021-05-01T00:00:00"/>
        <d v="2022-05-09T00:00:00"/>
        <d v="2022-01-03T00:00:00"/>
        <d v="2020-08-26T00:00:00"/>
        <d v="2021-03-24T00:00:00"/>
        <d v="2023-05-14T00:00:00"/>
        <d v="2021-06-18T00:00:00"/>
        <d v="2020-06-21T00:00:00"/>
        <d v="2024-02-03T00:00:00"/>
        <d v="2021-04-14T00:00:00"/>
        <d v="2021-10-26T00:00:00"/>
        <d v="2021-10-09T00:00:00"/>
        <d v="2023-12-20T00:00:00"/>
        <d v="2022-10-25T00:00:00"/>
        <d v="2020-05-16T00:00:00"/>
        <d v="2020-08-11T00:00:00"/>
        <d v="2023-01-11T00:00:00"/>
        <d v="2022-08-02T00:00:00"/>
        <d v="2020-09-08T00:00:00"/>
        <d v="2020-11-25T00:00:00"/>
        <d v="2021-01-03T00:00:00"/>
        <d v="2022-03-27T00:00:00"/>
        <d v="2021-12-21T00:00:00"/>
        <d v="2020-04-27T00:00:00"/>
        <d v="2023-03-02T00:00:00"/>
        <d v="2020-07-14T00:00:00"/>
        <d v="2021-03-25T00:00:00"/>
        <d v="2021-08-07T00:00:00"/>
        <d v="2022-02-23T00:00:00"/>
        <d v="2022-06-30T00:00:00"/>
        <d v="2020-05-12T00:00:00"/>
        <d v="2023-05-06T00:00:00"/>
        <d v="2022-06-28T00:00:00"/>
        <d v="2020-01-15T00:00:00"/>
        <d v="2021-11-26T00:00:00"/>
        <d v="2024-01-28T00:00:00"/>
        <d v="2021-08-19T00:00:00"/>
        <d v="2021-06-07T00:00:00"/>
        <d v="2022-01-28T00:00:00"/>
        <d v="2020-03-20T00:00:00"/>
        <d v="2023-07-01T00:00:00"/>
        <d v="2021-05-10T00:00:00"/>
        <d v="2023-10-07T00:00:00"/>
        <d v="2023-05-09T00:00:00"/>
        <d v="2023-10-30T00:00:00"/>
        <d v="2020-02-03T00:00:00"/>
        <d v="2024-01-19T00:00:00"/>
        <d v="2022-02-14T00:00:00"/>
        <d v="2023-08-15T00:00:00"/>
        <d v="2020-08-10T00:00:00"/>
        <d v="2022-11-03T00:00:00"/>
        <d v="2022-02-18T00:00:00"/>
        <d v="2022-09-20T00:00:00"/>
        <d v="2023-05-10T00:00:00"/>
        <d v="2023-06-22T00:00:00"/>
        <d v="2022-01-15T00:00:00"/>
        <d v="2020-05-03T00:00:00"/>
        <d v="2023-06-02T00:00:00"/>
        <d v="2021-01-27T00:00:00"/>
        <d v="2022-01-06T00:00:00"/>
        <d v="2022-11-28T00:00:00"/>
        <d v="2022-01-31T00:00:00"/>
        <d v="2023-10-24T00:00:00"/>
        <d v="2023-11-21T00:00:00"/>
        <d v="2021-08-25T00:00:00"/>
        <d v="2021-09-04T00:00:00"/>
        <d v="2022-07-19T00:00:00"/>
        <d v="2022-05-06T00:00:00"/>
        <d v="2021-07-22T00:00:00"/>
        <d v="2023-10-21T00:00:00"/>
        <d v="2022-10-07T00:00:00"/>
        <d v="2020-10-29T00:00:00"/>
        <d v="2022-11-10T00:00:00"/>
        <d v="2023-05-16T00:00:00"/>
        <d v="2020-06-04T00:00:00"/>
        <d v="2024-01-12T00:00:00"/>
        <d v="2023-10-04T00:00:00"/>
        <d v="2022-05-07T00:00:00"/>
        <d v="2022-02-15T00:00:00"/>
        <d v="2022-08-01T00:00:00"/>
        <d v="2022-12-11T00:00:00"/>
        <d v="2021-06-15T00:00:00"/>
        <d v="2022-02-26T00:00:00"/>
        <d v="2022-02-22T00:00:00"/>
        <d v="2022-11-05T00:00:00"/>
        <d v="2022-09-17T00:00:00"/>
        <d v="2022-10-26T00:00:00"/>
        <d v="2022-08-06T00:00:00"/>
        <d v="2020-10-02T00:00:00"/>
        <d v="2020-05-27T00:00:00"/>
        <d v="2024-01-06T00:00:00"/>
        <d v="2021-03-02T00:00:00"/>
        <d v="2023-06-30T00:00:00"/>
        <d v="2023-07-04T00:00:00"/>
        <d v="2022-07-27T00:00:00"/>
        <d v="2020-04-22T00:00:00"/>
        <d v="2021-10-10T00:00:00"/>
        <d v="2022-04-25T00:00:00"/>
        <d v="2021-07-23T00:00:00"/>
        <d v="2020-12-06T00:00:00"/>
        <d v="2020-05-19T00:00:00"/>
        <d v="2021-04-22T00:00:00"/>
        <d v="2021-01-17T00:00:00"/>
        <d v="2021-05-27T00:00:00"/>
        <d v="2021-10-03T00:00:00"/>
        <d v="2023-07-20T00:00:00"/>
        <d v="2023-08-20T00:00:00"/>
        <d v="2022-08-10T00:00:00"/>
        <d v="2022-04-17T00:00:00"/>
        <d v="2022-08-15T00:00:00"/>
        <d v="2022-11-09T00:00:00"/>
        <d v="2020-10-26T00:00:00"/>
        <d v="2023-07-30T00:00:00"/>
        <d v="2020-08-31T00:00:00"/>
        <d v="2022-09-10T00:00:00"/>
        <d v="2022-10-21T00:00:00"/>
        <d v="2022-01-29T00:00:00"/>
        <d v="2021-10-22T00:00:00"/>
        <d v="2020-09-06T00:00:00"/>
        <d v="2022-05-04T00:00:00"/>
        <d v="2021-10-17T00:00:00"/>
        <d v="2020-04-21T00:00:00"/>
        <d v="2020-07-23T00:00:00"/>
        <d v="2021-06-13T00:00:00"/>
        <d v="2020-07-06T00:00:00"/>
        <d v="2023-08-05T00:00:00"/>
        <d v="2021-02-02T00:00:00"/>
        <d v="2020-07-27T00:00:00"/>
        <d v="2021-05-12T00:00:00"/>
        <d v="2021-01-14T00:00:00"/>
        <d v="2023-03-07T00:00:00"/>
        <d v="2020-05-08T00:00:00"/>
        <d v="2021-05-06T00:00:00"/>
        <d v="2020-06-15T00:00:00"/>
        <d v="2021-02-26T00:00:00"/>
        <d v="2020-04-15T00:00:00"/>
        <d v="2020-11-22T00:00:00"/>
        <d v="2023-08-13T00:00:00"/>
        <d v="2021-07-03T00:00:00"/>
        <d v="2021-04-17T00:00:00"/>
        <d v="2022-04-10T00:00:00"/>
        <d v="2022-06-14T00:00:00"/>
        <d v="2021-06-12T00:00:00"/>
        <d v="2021-12-14T00:00:00"/>
        <d v="2022-01-10T00:00:00"/>
        <d v="2021-01-13T00:00:00"/>
        <d v="2020-01-13T00:00:00"/>
        <d v="2021-03-01T00:00:00"/>
        <d v="2022-05-22T00:00:00"/>
        <d v="2023-06-12T00:00:00"/>
        <d v="2023-07-26T00:00:00"/>
        <d v="2021-07-05T00:00:00"/>
        <d v="2023-01-23T00:00:00"/>
        <d v="2020-01-05T00:00:00"/>
        <d v="2021-09-07T00:00:00"/>
        <d v="2022-08-22T00:00:00"/>
        <d v="2023-04-17T00:00:00"/>
        <d v="2022-05-17T00:00:00"/>
        <d v="2023-03-05T00:00:00"/>
        <d v="2020-04-05T00:00:00"/>
        <d v="2020-10-20T00:00:00"/>
        <d v="2022-07-21T00:00:00"/>
        <d v="2020-02-07T00:00:00"/>
        <d v="2023-09-26T00:00:00"/>
        <d v="2023-04-25T00:00:00"/>
        <d v="2023-02-22T00:00:00"/>
        <d v="2020-03-11T00:00:00"/>
        <d v="2022-12-02T00:00:00"/>
        <d v="2022-06-07T00:00:00"/>
        <d v="2022-03-25T00:00:00"/>
        <d v="2024-02-08T00:00:00"/>
        <d v="2023-10-20T00:00:00"/>
        <d v="2021-08-10T00:00:00"/>
        <d v="2022-01-19T00:00:00"/>
        <d v="2023-01-13T00:00:00"/>
        <d v="2021-09-28T00:00:00"/>
        <d v="2022-01-20T00:00:00"/>
        <d v="2022-06-20T00:00:00"/>
        <d v="2020-09-25T00:00:00"/>
        <d v="2021-05-09T00:00:00"/>
        <d v="2023-06-13T00:00:00"/>
        <d v="2020-12-04T00:00:00"/>
        <d v="2020-05-17T00:00:00"/>
        <d v="2020-02-01T00:00:00"/>
        <d v="2022-05-16T00:00:00"/>
        <d v="2020-10-27T00:00:00"/>
        <d v="2023-06-09T00:00:00"/>
        <d v="2020-02-20T00:00:00"/>
        <d v="2020-08-28T00:00:00"/>
        <d v="2022-05-23T00:00:00"/>
        <d v="2023-02-06T00:00:00"/>
        <d v="2020-04-24T00:00:00"/>
        <d v="2022-12-23T00:00:00"/>
        <d v="2020-08-01T00:00:00"/>
        <d v="2023-04-15T00:00:00"/>
        <d v="2021-01-04T00:00:00"/>
        <d v="2021-01-26T00:00:00"/>
        <d v="2023-11-06T00:00:00"/>
        <d v="2021-03-08T00:00:00"/>
        <d v="2020-09-02T00:00:00"/>
        <d v="2020-03-06T00:00:00"/>
        <d v="2020-06-12T00:00:00"/>
        <d v="2022-12-07T00:00:00"/>
        <d v="2021-02-16T00:00:00"/>
        <d v="2021-07-11T00:00:00"/>
        <d v="2023-09-29T00:00:00"/>
        <d v="2022-06-15T00:00:00"/>
        <d v="2020-05-05T00:00:00"/>
        <d v="2021-07-29T00:00:00"/>
        <d v="2022-10-13T00:00:00"/>
        <d v="2021-11-21T00:00:00"/>
        <d v="2020-08-09T00:00:00"/>
        <d v="2021-03-20T00:00:00"/>
        <d v="2022-03-02T00:00:00"/>
        <d v="2022-04-01T00:00:00"/>
        <d v="2021-11-27T00:00:00"/>
        <d v="2022-01-01T00:00:00"/>
        <d v="2021-08-03T00:00:00"/>
        <d v="2022-04-08T00:00:00"/>
        <d v="2021-06-30T00:00:00"/>
        <d v="2021-11-29T00:00:00"/>
        <d v="2023-04-22T00:00:00"/>
        <d v="2023-12-21T00:00:00"/>
        <d v="2021-12-06T00:00:00"/>
        <d v="2020-11-18T00:00:00"/>
        <d v="2023-03-26T00:00:00"/>
        <d v="2023-06-01T00:00:00"/>
        <d v="2022-10-09T00:00:00"/>
        <d v="2022-05-10T00:00:00"/>
        <d v="2020-01-06T00:00:00"/>
        <d v="2022-08-11T00:00:00"/>
        <d v="2023-03-10T00:00:00"/>
        <d v="2022-07-11T00:00:00"/>
        <d v="2023-02-12T00:00:00"/>
        <d v="2022-05-02T00:00:00"/>
        <d v="2023-02-03T00:00:00"/>
        <d v="2023-07-02T00:00:00"/>
        <d v="2022-07-17T00:00:00"/>
        <d v="2021-02-20T00:00:00"/>
        <d v="2021-01-15T00:00:00"/>
        <d v="2020-01-19T00:00:00"/>
        <d v="2020-12-01T00:00:00"/>
        <d v="2022-06-02T00:00:00"/>
        <d v="2021-03-23T00:00:00"/>
        <d v="2023-08-02T00:00:00"/>
        <d v="2023-02-20T00:00:00"/>
        <d v="2021-04-12T00:00:00"/>
        <d v="2021-01-01T00:00:00"/>
        <d v="2023-09-21T00:00:00"/>
        <d v="2022-05-15T00:00:00"/>
        <d v="2023-10-08T00:00:00"/>
        <d v="2023-01-14T00:00:00"/>
        <d v="2022-07-15T00:00:00"/>
        <d v="2023-12-25T00:00:00"/>
        <d v="2023-11-24T00:00:00"/>
        <d v="2021-01-25T00:00:00"/>
        <d v="2020-06-30T00:00:00"/>
        <d v="2020-03-24T00:00:00"/>
        <d v="2021-02-07T00:00:00"/>
        <d v="2020-09-11T00:00:00"/>
        <d v="2020-04-26T00:00:00"/>
        <d v="2021-10-04T00:00:00"/>
        <d v="2020-01-11T00:00:00"/>
        <d v="2023-05-02T00:00:00"/>
        <d v="2023-05-17T00:00:00"/>
        <d v="2023-10-22T00:00:00"/>
        <d v="2020-11-07T00:00:00"/>
        <d v="2020-07-10T00:00:00"/>
        <d v="2022-06-21T00:00:00"/>
        <d v="2020-04-14T00:00:00"/>
        <d v="2020-01-01T00:00:00"/>
        <d v="2023-07-28T00:00:00"/>
        <d v="2022-11-25T00:00:00"/>
        <d v="2020-12-09T00:00:00"/>
        <d v="2023-09-06T00:00:00"/>
        <d v="2021-04-21T00:00:00"/>
        <d v="2024-01-24T00:00:00"/>
        <d v="2023-07-29T00:00:00"/>
        <d v="2022-09-04T00:00:00"/>
        <d v="2020-04-06T00:00:00"/>
        <d v="2023-03-22T00:00:00"/>
        <d v="2022-10-05T00:00:00"/>
        <d v="2021-06-01T00:00:00"/>
        <d v="2022-06-16T00:00:00"/>
        <d v="2023-11-14T00:00:00"/>
        <d v="2023-07-19T00:00:00"/>
        <d v="2023-01-02T00:00:00"/>
        <d v="2020-02-08T00:00:00"/>
        <d v="2020-03-29T00:00:00"/>
        <d v="2020-07-19T00:00:00"/>
        <d v="2020-09-04T00:00:00"/>
        <d v="2020-12-19T00:00:00"/>
        <d v="2021-04-20T00:00:00"/>
        <d v="2021-09-10T00:00:00"/>
        <d v="2022-07-22T00:00:00"/>
        <d v="2021-03-06T00:00:00"/>
        <d v="2022-04-11T00:00:00"/>
        <d v="2023-11-19T00:00:00"/>
        <d v="2022-12-01T00:00:00"/>
        <d v="2022-12-12T00:00:00"/>
        <d v="2022-03-24T00:00:00"/>
        <d v="2022-04-28T00:00:00"/>
        <d v="2023-09-15T00:00:00"/>
        <d v="2020-06-22T00:00:00"/>
        <d v="2021-09-09T00:00:00"/>
        <d v="2021-12-08T00:00:00"/>
        <d v="2022-05-19T00:00:00"/>
        <d v="2020-01-02T00:00:00"/>
        <d v="2020-12-08T00:00:00"/>
        <d v="2023-10-10T00:00:00"/>
        <d v="2023-01-17T00:00:00"/>
        <d v="2020-12-14T00:00:00"/>
        <d v="2021-07-15T00:00:00"/>
        <d v="2021-06-28T00:00:00"/>
        <d v="2023-07-27T00:00:00"/>
        <d v="2024-01-15T00:00:00"/>
        <d v="2021-08-01T00:00:00"/>
        <d v="2023-12-16T00:00:00"/>
        <d v="2023-07-18T00:00:00"/>
        <d v="2022-12-20T00:00:00"/>
        <d v="2021-07-14T00:00:00"/>
        <d v="2022-08-04T00:00:00"/>
        <d v="2021-01-20T00:00:00"/>
        <d v="2022-01-04T00:00:00"/>
        <d v="2022-10-19T00:00:00"/>
        <d v="2021-12-02T00:00:00"/>
        <d v="2021-11-23T00:00:00"/>
        <d v="2023-05-21T00:00:00"/>
        <d v="2020-10-28T00:00:00"/>
        <d v="2020-07-29T00:00:00"/>
        <d v="2020-05-20T00:00:00"/>
        <d v="2020-12-11T00:00:00"/>
        <d v="2023-01-31T00:00:00"/>
        <d v="2021-11-18T00:00:00"/>
        <d v="2023-11-07T00:00:00"/>
        <d v="2021-10-20T00:00:00"/>
        <d v="2020-07-20T00:00:00"/>
        <d v="2023-04-28T00:00:00"/>
        <d v="2021-04-10T00:00:00"/>
        <d v="2020-08-16T00:00:00"/>
        <d v="2020-01-31T00:00:00"/>
        <d v="2020-07-05T00:00:00"/>
        <d v="2020-02-29T00:00:00"/>
        <d v="2021-01-05T00:00:00"/>
        <d v="2021-06-24T00:00:00"/>
        <d v="2021-01-30T00:00:00"/>
        <d v="2023-01-19T00:00:00"/>
        <d v="2023-02-24T00:00:00"/>
        <d v="2022-05-20T00:00:00"/>
        <d v="2023-09-10T00:00:00"/>
        <d v="2023-03-25T00:00:00"/>
        <d v="2023-10-25T00:00:00"/>
        <d v="2022-09-06T00:00:00"/>
        <d v="2021-09-01T00:00:00"/>
        <d v="2022-03-11T00:00:00"/>
        <d v="2023-06-23T00:00:00"/>
        <d v="2023-01-04T00:00:00"/>
        <d v="2021-10-14T00:00:00"/>
        <d v="2022-02-20T00:00:00"/>
        <d v="2020-10-04T00:00:00"/>
        <d v="2021-02-06T00:00:00"/>
        <d v="2023-12-04T00:00:00"/>
        <d v="2021-09-02T00:00:00"/>
        <d v="2022-05-01T00:00:00"/>
        <d v="2021-07-02T00:00:00"/>
        <d v="2023-03-03T00:00:00"/>
        <d v="2022-05-21T00:00:00"/>
        <d v="2022-09-27T00:00:00"/>
        <d v="2023-12-19T00:00:00"/>
        <d v="2024-01-22T00:00:00"/>
        <d v="2022-03-30T00:00:00"/>
        <d v="2020-12-07T00:00:00"/>
        <d v="2024-01-03T00:00:00"/>
        <d v="2023-08-29T00:00:00"/>
        <d v="2022-07-07T00:00:00"/>
        <d v="2021-07-06T00:00:00"/>
        <d v="2020-11-13T00:00:00"/>
        <d v="2022-11-08T00:00:00"/>
        <d v="2022-02-21T00:00:00"/>
        <d v="2021-08-21T00:00:00"/>
        <d v="2022-01-23T00:00:00"/>
        <d v="2021-03-30T00:00:00"/>
        <d v="2022-03-10T00:00:00"/>
        <d v="2023-04-09T00:00:00"/>
        <d v="2020-01-29T00:00:00"/>
        <d v="2020-03-18T00:00:00"/>
        <d v="2021-09-26T00:00:00"/>
        <d v="2023-05-27T00:00:00"/>
        <d v="2023-01-25T00:00:00"/>
        <d v="2020-11-26T00:00:00"/>
        <d v="2022-06-18T00:00:00"/>
        <d v="2021-12-04T00:00:00"/>
        <d v="2022-11-06T00:00:00"/>
        <d v="2021-03-13T00:00:00"/>
        <d v="2022-12-29T00:00:00"/>
        <d v="2020-06-07T00:00:00"/>
        <d v="2022-06-26T00:00:00"/>
        <d v="2021-05-07T00:00:00"/>
        <d v="2022-02-01T00:00:00"/>
        <d v="2023-02-26T00:00:00"/>
        <d v="2022-05-08T00:00:00"/>
        <d v="2024-01-30T00:00:00"/>
        <d v="2023-07-31T00:00:00"/>
        <d v="2020-06-01T00:00:00"/>
        <d v="2023-04-11T00:00:00"/>
        <d v="2021-12-05T00:00:00"/>
        <d v="2023-05-05T00:00:00"/>
        <d v="2020-04-01T00:00:00"/>
        <d v="2021-01-02T00:00:00"/>
        <d v="2020-09-22T00:00:00"/>
        <d v="2021-12-22T00:00:00"/>
        <d v="2021-08-29T00:00:00"/>
        <d v="2020-12-21T00:00:00"/>
        <d v="2020-05-25T00:00:00"/>
        <d v="2021-06-03T00:00:00"/>
        <d v="2023-03-12T00:00:00"/>
        <d v="2022-01-08T00:00:00"/>
        <d v="2021-08-16T00:00:00"/>
        <d v="2021-01-21T00:00:00"/>
        <d v="2021-12-17T00:00:00"/>
        <d v="2020-09-29T00:00:00"/>
        <d v="2021-11-06T00:00:00"/>
        <d v="2020-08-05T00:00:00"/>
        <d v="2020-07-31T00:00:00"/>
        <d v="2022-03-16T00:00:00"/>
        <d v="2022-07-02T00:00:00"/>
        <d v="2021-06-06T00:00:00"/>
        <d v="2022-03-18T00:00:00"/>
        <d v="2020-03-08T00:00:00"/>
        <d v="2021-12-18T00:00:00"/>
        <d v="2023-12-18T00:00:00"/>
        <d v="2020-06-27T00:00:00"/>
        <d v="2020-12-25T00:00:00"/>
        <d v="2022-10-20T00:00:00"/>
        <d v="2020-02-19T00:00:00"/>
        <d v="2021-04-01T00:00:00"/>
        <d v="2024-02-01T00:00:00"/>
        <d v="2022-12-26T00:00:00"/>
        <d v="2023-08-09T00:00:00"/>
        <d v="2023-03-15T00:00:00"/>
        <d v="2022-12-25T00:00:00"/>
        <d v="2022-03-29T00:00:00"/>
        <d v="2022-05-25T00:00:00"/>
        <d v="2023-06-11T00:00:00"/>
        <d v="2023-05-08T00:00:00"/>
        <d v="2020-11-03T00:00:00"/>
        <d v="2022-06-12T00:00:00"/>
        <d v="2020-06-10T00:00:00"/>
        <d v="2021-01-10T00:00:00"/>
        <d v="2021-06-23T00:00:00"/>
        <d v="2021-10-24T00:00:00"/>
        <d v="2022-12-04T00:00:00"/>
        <d v="2023-07-03T00:00:00"/>
        <d v="2020-04-11T00:00:00"/>
        <d v="2020-11-17T00:00:00"/>
        <d v="2023-11-29T00:00:00"/>
        <d v="2022-10-22T00:00:00"/>
        <d v="2023-06-24T00:00:00"/>
        <d v="2021-05-23T00:00:00"/>
        <d v="2022-10-16T00:00:00"/>
        <d v="2023-05-07T00:00:00"/>
        <d v="2020-12-26T00:00:00"/>
        <d v="2021-11-20T00:00:00"/>
        <d v="2020-02-15T00:00:00"/>
        <d v="2022-06-24T00:00:00"/>
        <d v="2023-03-29T00:00:00"/>
        <d v="2020-02-17T00:00:00"/>
        <d v="2020-04-08T00:00:00"/>
        <d v="2020-04-19T00:00:00"/>
      </sharedItems>
      <fieldGroup par="12"/>
    </cacheField>
    <cacheField name="Monthly SIP " numFmtId="165">
      <sharedItems containsSemiMixedTypes="0" containsString="0" containsNumber="1" containsInteger="1" minValue="500" maxValue="3000" count="5">
        <n v="1500"/>
        <n v="500"/>
        <n v="2000"/>
        <n v="3000"/>
        <n v="1000"/>
      </sharedItems>
    </cacheField>
    <cacheField name="Total Invested " numFmtId="165">
      <sharedItems containsSemiMixedTypes="0" containsString="0" containsNumber="1" containsInteger="1" minValue="9000" maxValue="201000"/>
    </cacheField>
    <cacheField name="Current NAV" numFmtId="165">
      <sharedItems containsSemiMixedTypes="0" containsString="0" containsNumber="1" minValue="10.37" maxValue="69.790000000000006"/>
    </cacheField>
    <cacheField name="Current Value " numFmtId="165">
      <sharedItems containsSemiMixedTypes="0" containsString="0" containsNumber="1" minValue="8348.64" maxValue="308838.8" count="550">
        <n v="124213.29"/>
        <n v="23948.74"/>
        <n v="42871.77"/>
        <n v="67425.7"/>
        <n v="115241.08"/>
        <n v="150185.64000000001"/>
        <n v="146457.20000000001"/>
        <n v="62184.42"/>
        <n v="37941.019999999997"/>
        <n v="99301.74"/>
        <n v="59943.51"/>
        <n v="60203.49"/>
        <n v="50181.35"/>
        <n v="27235.25"/>
        <n v="142094.12"/>
        <n v="40937.699999999997"/>
        <n v="56277.120000000003"/>
        <n v="59836.44"/>
        <n v="83860.88"/>
        <n v="89451.28"/>
        <n v="227646.74"/>
        <n v="142311.26"/>
        <n v="21223.19"/>
        <n v="267519.43"/>
        <n v="32964.19"/>
        <n v="160205.35999999999"/>
        <n v="161507.04"/>
        <n v="47468.29"/>
        <n v="36235.54"/>
        <n v="17515.849999999999"/>
        <n v="11717.78"/>
        <n v="112051.01"/>
        <n v="53671"/>
        <n v="189475.04"/>
        <n v="111469.62"/>
        <n v="41799.29"/>
        <n v="29326.74"/>
        <n v="192159.78"/>
        <n v="62058.14"/>
        <n v="145335.57999999999"/>
        <n v="145717.70000000001"/>
        <n v="61385.02"/>
        <n v="8348.64"/>
        <n v="101593.26"/>
        <n v="98025.59"/>
        <n v="122409.48"/>
        <n v="89316.27"/>
        <n v="34919.14"/>
        <n v="69264.240000000005"/>
        <n v="97842.2"/>
        <n v="11001.12"/>
        <n v="46296.49"/>
        <n v="99550.28"/>
        <n v="18180.22"/>
        <n v="77295.91"/>
        <n v="67739.570000000007"/>
        <n v="30704.400000000001"/>
        <n v="44109.58"/>
        <n v="69375.429999999993"/>
        <n v="97542.98"/>
        <n v="21592.32"/>
        <n v="24731.03"/>
        <n v="53708.05"/>
        <n v="175523.98"/>
        <n v="265383.2"/>
        <n v="41591.089999999997"/>
        <n v="34206.559999999998"/>
        <n v="49468.9"/>
        <n v="33305.65"/>
        <n v="28074.6"/>
        <n v="18282.37"/>
        <n v="32266.25"/>
        <n v="66337.850000000006"/>
        <n v="55774.35"/>
        <n v="31591.59"/>
        <n v="100865.84"/>
        <n v="308838.8"/>
        <n v="162808.76"/>
        <n v="59070.44"/>
        <n v="134814.23000000001"/>
        <n v="46052.7"/>
        <n v="45288.01"/>
        <n v="87839.22"/>
        <n v="166920.78"/>
        <n v="41237.42"/>
        <n v="15408.53"/>
        <n v="173091.49"/>
        <n v="78561.31"/>
        <n v="81976.289999999994"/>
        <n v="44471.839999999997"/>
        <n v="52529.760000000002"/>
        <n v="100186.04"/>
        <n v="112292.37"/>
        <n v="81295.320000000007"/>
        <n v="14181.32"/>
        <n v="150132.38"/>
        <n v="27630.03"/>
        <n v="158630.42000000001"/>
        <n v="96924.83"/>
        <n v="38031.269999999997"/>
        <n v="32671.56"/>
        <n v="118865.12"/>
        <n v="69432.399999999994"/>
        <n v="76460.62"/>
        <n v="152515.32999999999"/>
        <n v="125785.41"/>
        <n v="113303.75"/>
        <n v="98419.79"/>
        <n v="161427.79999999999"/>
        <n v="275114.8"/>
        <n v="91813.67"/>
        <n v="121613.12"/>
        <n v="70721.3"/>
        <n v="186981.55"/>
        <n v="193427.16"/>
        <n v="107099.51"/>
        <n v="52828.160000000003"/>
        <n v="49089.56"/>
        <n v="91433.84"/>
        <n v="87469.35"/>
        <n v="124324.79"/>
        <n v="95509.16"/>
        <n v="34213.120000000003"/>
        <n v="63440.69"/>
        <n v="57706.66"/>
        <n v="95212.53"/>
        <n v="21355.33"/>
        <n v="43218.19"/>
        <n v="188201.71"/>
        <n v="105057.1"/>
        <n v="127067.05"/>
        <n v="115776.67"/>
        <n v="72252.94"/>
        <n v="108514.67"/>
        <n v="31749.59"/>
        <n v="25643.59"/>
        <n v="171833.91"/>
        <n v="72385.850000000006"/>
        <n v="85387.68"/>
        <n v="31626.78"/>
        <n v="61066.400000000001"/>
        <n v="66515.34"/>
        <n v="93932.53"/>
        <n v="181645.02"/>
        <n v="43487.23"/>
        <n v="63321.97"/>
        <n v="231620.06"/>
        <n v="93931.51"/>
        <n v="144256.44"/>
        <n v="82630.649999999994"/>
        <n v="286227.8"/>
        <n v="56258.99"/>
        <n v="108505.91"/>
        <n v="101192.18"/>
        <n v="74227.63"/>
        <n v="235168.08"/>
        <n v="22874.02"/>
        <n v="57295.9"/>
        <n v="165734.34"/>
        <n v="85326.51"/>
        <n v="136574.47"/>
        <n v="47303.3"/>
        <n v="58801.95"/>
        <n v="63030.39"/>
        <n v="55879.99"/>
        <n v="10525.45"/>
        <n v="107433.07"/>
        <n v="43863.8"/>
        <n v="144236.09"/>
        <n v="46082.32"/>
        <n v="51405.56"/>
        <n v="221811.23"/>
        <n v="14974.19"/>
        <n v="54276.73"/>
        <n v="54753.3"/>
        <n v="94928.97"/>
        <n v="64836.71"/>
        <n v="97419.58"/>
        <n v="141381.47"/>
        <n v="111897.2"/>
        <n v="186431.31"/>
        <n v="32925.51"/>
        <n v="86326.55"/>
        <n v="97403.32"/>
        <n v="67087.360000000001"/>
        <n v="34865.93"/>
        <n v="164041.85999999999"/>
        <n v="126228.15"/>
        <n v="10634.55"/>
        <n v="64517.93"/>
        <n v="80339.429999999993"/>
        <n v="60448.56"/>
        <n v="114260.47"/>
        <n v="20703.259999999998"/>
        <n v="53071.98"/>
        <n v="33261.32"/>
        <n v="92310.06"/>
        <n v="105525.81"/>
        <n v="15562.46"/>
        <n v="68262.12"/>
        <n v="53205.279999999999"/>
        <n v="203794.04"/>
        <n v="111891.52"/>
        <n v="104797.73"/>
        <n v="67488.86"/>
        <n v="187131.39"/>
        <n v="234019.20000000001"/>
        <n v="116779.52"/>
        <n v="41209.54"/>
        <n v="80383.31"/>
        <n v="38770.839999999997"/>
        <n v="141358.48000000001"/>
        <n v="17257.37"/>
        <n v="88126.56"/>
        <n v="202087.07"/>
        <n v="20326.830000000002"/>
        <n v="209126.76"/>
        <n v="28927.67"/>
        <n v="162847"/>
        <n v="115370.45"/>
        <n v="30068.63"/>
        <n v="24074.46"/>
        <n v="126784.41"/>
        <n v="37156.75"/>
        <n v="95966.01"/>
        <n v="53847.15"/>
        <n v="93240.3"/>
        <n v="137953.28"/>
        <n v="149176.45000000001"/>
        <n v="214847.17"/>
        <n v="93322.09"/>
        <n v="46573.919999999998"/>
        <n v="71564.92"/>
        <n v="78403.839999999997"/>
        <n v="35344.04"/>
        <n v="202618.78"/>
        <n v="104487.71"/>
        <n v="28978.67"/>
        <n v="105683.94"/>
        <n v="99624.56"/>
        <n v="163758.69"/>
        <n v="78981.990000000005"/>
        <n v="28412.02"/>
        <n v="104607.22"/>
        <n v="79796.08"/>
        <n v="117911.77"/>
        <n v="37084.61"/>
        <n v="63227.99"/>
        <n v="15415.77"/>
        <n v="126864.3"/>
        <n v="61382.51"/>
        <n v="24462.59"/>
        <n v="18859.14"/>
        <n v="123420.27"/>
        <n v="39485.42"/>
        <n v="72934.240000000005"/>
        <n v="56545.08"/>
        <n v="100587.11"/>
        <n v="59126"/>
        <n v="13035.51"/>
        <n v="57229.99"/>
        <n v="49734.559999999998"/>
        <n v="73015.240000000005"/>
        <n v="47171.31"/>
        <n v="36952.04"/>
        <n v="22538.23"/>
        <n v="261328.95"/>
        <n v="189072.63"/>
        <n v="232995.18"/>
        <n v="175756.32"/>
        <n v="143567.99"/>
        <n v="56670.14"/>
        <n v="74084.009999999995"/>
        <n v="32195.73"/>
        <n v="111932.45"/>
        <n v="105191.75"/>
        <n v="25789.94"/>
        <n v="73533.490000000005"/>
        <n v="71357.13"/>
        <n v="113154.16"/>
        <n v="34772.35"/>
        <n v="75688.009999999995"/>
        <n v="40629.69"/>
        <n v="113674.97"/>
        <n v="160213.72"/>
        <n v="87394.01"/>
        <n v="266192.73"/>
        <n v="100905.05"/>
        <n v="22920.44"/>
        <n v="29861.71"/>
        <n v="93579.14"/>
        <n v="39303.25"/>
        <n v="180339.5"/>
        <n v="56327.87"/>
        <n v="20657.62"/>
        <n v="13789.89"/>
        <n v="84552.22"/>
        <n v="98714.14"/>
        <n v="193928.92"/>
        <n v="176182.3"/>
        <n v="78597.850000000006"/>
        <n v="170275.34"/>
        <n v="216879.3"/>
        <n v="55316.12"/>
        <n v="33654.080000000002"/>
        <n v="136164.63"/>
        <n v="35859.730000000003"/>
        <n v="101926.8"/>
        <n v="39201.519999999997"/>
        <n v="103438.41"/>
        <n v="78398.67"/>
        <n v="94152.98"/>
        <n v="61626.68"/>
        <n v="69500.95"/>
        <n v="24534.43"/>
        <n v="101310.82"/>
        <n v="29916.03"/>
        <n v="76709.33"/>
        <n v="44603.05"/>
        <n v="156411.14000000001"/>
        <n v="25555.53"/>
        <n v="158341.54"/>
        <n v="133760.67000000001"/>
        <n v="189406.1"/>
        <n v="31090.67"/>
        <n v="147099.99"/>
        <n v="72788.31"/>
        <n v="182722.19"/>
        <n v="58609.81"/>
        <n v="165499.65"/>
        <n v="149586.53"/>
        <n v="51929.35"/>
        <n v="22238.080000000002"/>
        <n v="20083.41"/>
        <n v="61539.89"/>
        <n v="150345.99"/>
        <n v="36591.32"/>
        <n v="164165.34"/>
        <n v="127304.04"/>
        <n v="53661.72"/>
        <n v="97886.96"/>
        <n v="42745.89"/>
        <n v="37096.97"/>
        <n v="112745.18"/>
        <n v="95356.76"/>
        <n v="16154.41"/>
        <n v="49999.31"/>
        <n v="154357.81"/>
        <n v="73363.02"/>
        <n v="33522.74"/>
        <n v="24843.74"/>
        <n v="84883.98"/>
        <n v="25775.5"/>
        <n v="93448.53"/>
        <n v="51271.02"/>
        <n v="153137.88"/>
        <n v="46861.32"/>
        <n v="10654.54"/>
        <n v="99382.83"/>
        <n v="16310.72"/>
        <n v="76076.45"/>
        <n v="29268.57"/>
        <n v="23776.91"/>
        <n v="162266"/>
        <n v="23078.81"/>
        <n v="153426.01999999999"/>
        <n v="58922.69"/>
        <n v="135163.25"/>
        <n v="46696.09"/>
        <n v="135304.98000000001"/>
        <n v="52926.59"/>
        <n v="80052.66"/>
        <n v="188295.83"/>
        <n v="63237.89"/>
        <n v="38321.019999999997"/>
        <n v="28720.21"/>
        <n v="134660.46"/>
        <n v="129344.6"/>
        <n v="63663.28"/>
        <n v="98713.87"/>
        <n v="189003.76"/>
        <n v="58182.86"/>
        <n v="46033.37"/>
        <n v="36340.99"/>
        <n v="113875.46"/>
        <n v="72679.490000000005"/>
        <n v="91093.68"/>
        <n v="34963.53"/>
        <n v="95813.35"/>
        <n v="257397.21"/>
        <n v="118355.92"/>
        <n v="237489.61"/>
        <n v="105047.92"/>
        <n v="34258.94"/>
        <n v="59769"/>
        <n v="47664.800000000003"/>
        <n v="14285.37"/>
        <n v="33671.06"/>
        <n v="31333.46"/>
        <n v="19242.97"/>
        <n v="76670.53"/>
        <n v="72158.09"/>
        <n v="69089.289999999994"/>
        <n v="108974.51"/>
        <n v="54330.33"/>
        <n v="75649.63"/>
        <n v="75668.06"/>
        <n v="37699.15"/>
        <n v="88616.73"/>
        <n v="124586.32"/>
        <n v="84369.77"/>
        <n v="47998.91"/>
        <n v="15825.65"/>
        <n v="215082.71"/>
        <n v="18266.52"/>
        <n v="57701.83"/>
        <n v="28589.119999999999"/>
        <n v="62620.98"/>
        <n v="133885.63"/>
        <n v="37760.94"/>
        <n v="137043.76999999999"/>
        <n v="57861.14"/>
        <n v="140982.74"/>
        <n v="111306.28"/>
        <n v="32998.629999999997"/>
        <n v="31691.66"/>
        <n v="25171.63"/>
        <n v="26513.15"/>
        <n v="30827.37"/>
        <n v="189959.11"/>
        <n v="81680.149999999994"/>
        <n v="71921.81"/>
        <n v="17738.849999999999"/>
        <n v="181254.5"/>
        <n v="107194.36"/>
        <n v="94487.03"/>
        <n v="57592.1"/>
        <n v="83010.820000000007"/>
        <n v="109114.46"/>
        <n v="92312.07"/>
        <n v="48034.82"/>
        <n v="12377.52"/>
        <n v="94309.4"/>
        <n v="132686.48000000001"/>
        <n v="45398.7"/>
        <n v="44569.3"/>
        <n v="59444.84"/>
        <n v="21139.15"/>
        <n v="78740.69"/>
        <n v="105886.31"/>
        <n v="42338.93"/>
        <n v="130753.05"/>
        <n v="47506.38"/>
        <n v="50239.519999999997"/>
        <n v="148166.01999999999"/>
        <n v="89113.51"/>
        <n v="80985.47"/>
        <n v="13331.75"/>
        <n v="84523.38"/>
        <n v="64653.96"/>
        <n v="57618.9"/>
        <n v="126249.55"/>
        <n v="12725.5"/>
        <n v="25646.91"/>
        <n v="227368.77"/>
        <n v="86657.98"/>
        <n v="46964.11"/>
        <n v="218452.26"/>
        <n v="106798.09"/>
        <n v="45834.59"/>
        <n v="155883.65"/>
        <n v="61833.2"/>
        <n v="108495.88"/>
        <n v="263506.68"/>
        <n v="88933.47"/>
        <n v="205082.83"/>
        <n v="17666.900000000001"/>
        <n v="96900.5"/>
        <n v="108501.92"/>
        <n v="39472.82"/>
        <n v="39977.78"/>
        <n v="44432.14"/>
        <n v="103431.19"/>
        <n v="91882.38"/>
        <n v="36533.089999999997"/>
        <n v="165608.26"/>
        <n v="242071.27"/>
        <n v="264487.7"/>
        <n v="37541.440000000002"/>
        <n v="72373.960000000006"/>
        <n v="118002.24000000001"/>
        <n v="32437.42"/>
        <n v="175157.91"/>
        <n v="47359.8"/>
        <n v="50291.51"/>
        <n v="18565.509999999998"/>
        <n v="133685.76000000001"/>
        <n v="33526.69"/>
        <n v="72894.070000000007"/>
        <n v="48638.080000000002"/>
        <n v="50540.19"/>
        <n v="83243.11"/>
        <n v="43794.720000000001"/>
        <n v="64442.62"/>
        <n v="21682.13"/>
        <n v="74135.350000000006"/>
        <n v="112554.45"/>
        <n v="26981.53"/>
        <n v="171014.68"/>
        <n v="87145.44"/>
        <n v="72536.94"/>
        <n v="51967.6"/>
        <n v="73829.59"/>
        <n v="92336.24"/>
        <n v="123344.83"/>
        <n v="81576.87"/>
        <n v="80150.600000000006"/>
        <n v="69780.14"/>
        <n v="35445.25"/>
        <n v="148094.34"/>
        <n v="148902.51999999999"/>
        <n v="29016.49"/>
        <n v="121305.68"/>
        <n v="153882.19"/>
        <n v="97877.14"/>
        <n v="107289.33"/>
        <n v="86195.43"/>
        <n v="101787.69"/>
        <n v="34639.43"/>
        <n v="175931.42"/>
        <n v="53755.92"/>
        <n v="35451.82"/>
        <n v="86803.7"/>
        <n v="77309.14"/>
        <n v="55497.56"/>
        <n v="121222.79"/>
        <n v="85587.92"/>
        <n v="72981.11"/>
        <n v="13504.14"/>
        <n v="115908.31"/>
        <n v="77430.179999999993"/>
        <n v="31303.39"/>
        <n v="85030.55"/>
        <n v="13796.49"/>
        <n v="77795.98"/>
        <n v="26707.16"/>
        <n v="36468.410000000003"/>
        <n v="201467.1"/>
        <n v="40701.85"/>
        <n v="177234.72"/>
      </sharedItems>
    </cacheField>
    <cacheField name="Returns " numFmtId="10">
      <sharedItems containsSemiMixedTypes="0" containsString="0" containsNumber="1" minValue="-0.19851861111111108" maxValue="0.59863981481481487" count="550">
        <n v="0.53349740740740736"/>
        <n v="6.4388444444444512E-2"/>
        <n v="0.42905899999999991"/>
        <n v="0.12376166666666662"/>
        <n v="0.42272938271604943"/>
        <n v="0.4724082352941178"/>
        <n v="0.25177094017094026"/>
        <n v="-3.5900465116279097E-2"/>
        <n v="0.26470066666666658"/>
        <n v="-6.3191132075471654E-2"/>
        <n v="0.11006500000000004"/>
        <n v="0.20406979999999997"/>
        <n v="-0.19062338709677421"/>
        <n v="8.7129629629629623E-3"/>
        <n v="0.36628961538461535"/>
        <n v="-9.02733333333334E-2"/>
        <n v="-0.18438956521739128"/>
        <n v="0.57464315789473686"/>
        <n v="0.27061939393939399"/>
        <n v="-5.3425608465608475E-2"/>
        <n v="0.26470411111111108"/>
        <n v="0.53022860215053769"/>
        <n v="0.17906611111111104"/>
        <n v="0.51140920903954801"/>
        <n v="0.15663824561403517"/>
        <n v="0.45641236363636351"/>
        <n v="0.34589200000000009"/>
        <n v="7.8824772727272743E-2"/>
        <n v="0.13236062500000004"/>
        <n v="0.20798965517241369"/>
        <n v="-0.13201629629629624"/>
        <n v="0.2246012021857923"/>
        <n v="1.2660377358490566E-2"/>
        <n v="0.31579888888888896"/>
        <n v="0.35938560975609751"/>
        <n v="0.12971054054054057"/>
        <n v="-6.8992380952380902E-2"/>
        <n v="6.7554333333333327E-2"/>
        <n v="0.14922481481481481"/>
        <n v="0.30932954954954944"/>
        <n v="0.44992736318407972"/>
        <n v="-6.9923939393939441E-2"/>
        <n v="-7.2373333333333401E-2"/>
        <n v="0.41101749999999992"/>
        <n v="-1.9744100000000035E-2"/>
        <n v="0.45725571428571421"/>
        <n v="0.3740964615384616"/>
        <n v="0.3967656"/>
        <n v="-9.4585098039215623E-2"/>
        <n v="0.4824575757575757"/>
        <n v="-0.18510222222222217"/>
        <n v="0.46972984126984119"/>
        <n v="-9.4499502487562313E-3"/>
        <n v="1.0012222222222287E-2"/>
        <n v="0.2269192063492064"/>
        <n v="0.41124104166666681"/>
        <n v="2.3480000000000049E-2"/>
        <n v="-0.1088973737373737"/>
        <n v="0.57671431818181806"/>
        <n v="0.54830126984126981"/>
        <n v="0.23384685714285713"/>
        <n v="-8.4035925925925972E-2"/>
        <n v="7.416100000000006E-2"/>
        <n v="0.36065100775193809"/>
        <n v="0.38220416666666673"/>
        <n v="6.6438205128205044E-2"/>
        <n v="0.243874909090909"/>
        <n v="0.15043953488372097"/>
        <n v="4.0801562500000048E-2"/>
        <n v="0.33688571428571423"/>
        <n v="-0.12941095238095243"/>
        <n v="7.554166666666666E-2"/>
        <n v="0.38203854166666679"/>
        <n v="0.1866882978723404"/>
        <n v="-0.14617324324324324"/>
        <n v="0.29315179487179482"/>
        <n v="0.53651144278606955"/>
        <n v="0.10754258503401366"/>
        <n v="0.4064390476190477"/>
        <n v="0.32170813725490205"/>
        <n v="0.58802413793103436"/>
        <n v="0.37236393939393947"/>
        <n v="8.4434814814814824E-2"/>
        <n v="0.34613532258064517"/>
        <n v="0.44692701754385961"/>
        <n v="0.4007754545454546"/>
        <n v="0.47941444444444437"/>
        <n v="-6.4746309523809553E-2"/>
        <n v="0.13855958333333324"/>
        <n v="0.3897449999999999"/>
        <n v="5.0595200000000042E-2"/>
        <n v="0.22178097560975601"/>
        <n v="-0.10879071428571432"/>
        <n v="-0.17883515151515145"/>
        <n v="-0.18963885714285716"/>
        <n v="0.51648868686868687"/>
        <n v="0.5350016666666666"/>
        <n v="-8.8330919540229813E-2"/>
        <n v="2.5659576719576738E-2"/>
        <n v="8.22894736842021E-4"/>
        <n v="0.23288905660377363"/>
        <n v="0.58486826666666658"/>
        <n v="0.38864799999999988"/>
        <n v="6.195305555555549E-2"/>
        <n v="0.19152601562499991"/>
        <n v="-8.8511521739130405E-2"/>
        <n v="0.45261217948717947"/>
        <n v="0.33904476190476179"/>
        <n v="-3.9120238095238166E-2"/>
        <n v="0.45563386243386239"/>
        <n v="2.0151888888888869E-2"/>
        <n v="0.39785195402298845"/>
        <n v="0.36002500000000004"/>
        <n v="0.13322151515151509"/>
        <n v="0.26422980392156864"/>
        <n v="0.16412510869565211"/>
        <n v="0.46744888888888897"/>
        <n v="6.7164347826086906E-2"/>
        <n v="0.2699144444444444"/>
        <n v="0.45782250000000008"/>
        <n v="0.15115546296296289"/>
        <n v="0.44710848484848492"/>
        <n v="0.17976275862068974"/>
        <n v="-0.11887930555555552"/>
        <n v="-0.19851861111111108"/>
        <n v="5.7916999999999989E-2"/>
        <n v="0.22030457142857152"/>
        <n v="0.30964212121212126"/>
        <n v="0.49366436507936501"/>
        <n v="0.14192500000000005"/>
        <n v="0.43578587570621474"/>
        <n v="-1.0455811965811981E-2"/>
        <n v="0.57071608695652176"/>
        <n v="0.1303611458333333"/>
        <n v="0.32289958333333335"/>
        <n v="-0.15922655737704919"/>
        <n v="0.14555940000000003"/>
        <n v="4.9070289855072551E-2"/>
        <n v="0.39979803278688514"/>
        <n v="-4.1612727272727308E-2"/>
        <n v="0.27221666666666672"/>
        <n v="-0.17882296296296302"/>
        <n v="0.53987754098360652"/>
        <n v="0.1872223529411764"/>
        <n v="0.5813538181818183"/>
        <n v="0.45567747126436786"/>
        <n v="0.22550296296296296"/>
        <n v="-7.910284313725495E-2"/>
        <n v="0.55114451612903226"/>
        <n v="0.5301972222222221"/>
        <n v="0.49076979166666662"/>
        <n v="-1.3000175438596526E-2"/>
        <n v="0.13026989583333337"/>
        <n v="0.40544694444444435"/>
        <n v="0.51484959183673484"/>
        <n v="0.5074876923076922"/>
        <n v="0.14370100000000002"/>
        <n v="0.50778684210526315"/>
        <n v="0.10489559999999998"/>
        <n v="-3.0380568181818241E-2"/>
        <n v="5.8716821705426366E-2"/>
        <n v="-0.13993999999999995"/>
        <n v="-0.12235895522388064"/>
        <n v="0.18925264150943394"/>
        <n v="0.43282025641025634"/>
        <n v="-0.19034999999999994"/>
        <n v="0.49212597222222232"/>
        <n v="4.4376190476190548E-2"/>
        <n v="0.47179683673469386"/>
        <n v="0.53607733333333329"/>
        <n v="0.53449432835820887"/>
        <n v="0.57312929078014196"/>
        <n v="-0.14433199999999996"/>
        <n v="0.29230309523809533"/>
        <n v="0.40393076923076932"/>
        <n v="0.50680904761904766"/>
        <n v="0.49049908045977009"/>
        <n v="0.52218093750000005"/>
        <n v="-0.187462816091954"/>
        <n v="8.0828828828828567E-3"/>
        <n v="0.41235840909090909"/>
        <n v="0.49661409090909098"/>
        <n v="0.59863981481481487"/>
        <n v="0.11957839080459778"/>
        <n v="3.2113230769230776E-2"/>
        <n v="8.9560312500000003E-2"/>
        <n v="0.43896368421052617"/>
        <n v="0.5778518749999999"/>
        <n v="0.18161666666666659"/>
        <n v="0.53614119047619047"/>
        <n v="0.11582541666666657"/>
        <n v="0.40578046511627902"/>
        <n v="0.22860720430107528"/>
        <n v="-9.9858260869565285E-2"/>
        <n v="0.2342320930232559"/>
        <n v="-0.12470210526315791"/>
        <n v="0.56457728813559316"/>
        <n v="0.37942235294117643"/>
        <n v="0.19711230769230761"/>
        <n v="0.21896642857142848"/>
        <n v="-0.15547174603174604"/>
        <n v="0.52085104477611943"/>
        <n v="-4.3662222222222186E-2"/>
        <n v="0.20457160919540227"/>
        <n v="0.2978626923076923"/>
        <n v="-5.4891969696969627E-2"/>
        <n v="0.30010666666666674"/>
        <n v="0.49717333333333341"/>
        <n v="-8.4232444444444429E-2"/>
        <n v="0.25598921874999997"/>
        <n v="0.25067225806451604"/>
        <n v="0.15867606557377056"/>
        <n v="0.23266928571428563"/>
        <n v="6.8200727272727246E-2"/>
        <n v="0.22477012121212125"/>
        <n v="-3.2055714285714201E-2"/>
        <n v="0.31526264150943401"/>
        <n v="-1.94010169491526E-2"/>
        <n v="0.25266923076923076"/>
        <n v="0.24054247311827953"/>
        <n v="-6.0355312499999966E-2"/>
        <n v="-0.10835333333333337"/>
        <n v="-0.13752102040816325"/>
        <n v="0.12596212121212122"/>
        <n v="0.18476555555555549"/>
        <n v="0.41703026315789476"/>
        <n v="0.48000476190476193"/>
        <n v="-4.1991111111111118E-2"/>
        <n v="0.4625142156862746"/>
        <n v="0.59146051851851866"/>
        <n v="0.55536816666666666"/>
        <n v="-0.12124679245283022"/>
        <n v="0.16365723577235769"/>
        <n v="0.3067306666666666"/>
        <n v="-0.19672636363636362"/>
        <n v="0.57068821705426354"/>
        <n v="8.8413645833333401E-2"/>
        <n v="0.44893349999999993"/>
        <n v="0.43787673469387756"/>
        <n v="0.50946303030303031"/>
        <n v="0.43647973684210528"/>
        <n v="-2.4913703703703639E-2"/>
        <n v="0.49536947368421053"/>
        <n v="0.18871840909090912"/>
        <n v="0.39993122807017545"/>
        <n v="0.55147065789473693"/>
        <n v="0.32445035714285714"/>
        <n v="0.21592288461538459"/>
        <n v="-9.3189999999999981E-2"/>
        <n v="8.431025641025644E-2"/>
        <n v="-8.3843134328358174E-2"/>
        <n v="0.39786228571428572"/>
        <n v="4.7729999999999967E-2"/>
        <n v="0.30603460317460324"/>
        <n v="0.36156620689655167"/>
        <n v="0.31413045045045057"/>
        <n v="-5.7581999999999973E-2"/>
        <n v="2.6399081632653067E-2"/>
        <n v="1.0700854700854702E-2"/>
        <n v="-0.130966"/>
        <n v="-0.10578140625000003"/>
        <n v="-5.3088000000000466E-3"/>
        <n v="0.31558990990990998"/>
        <n v="-0.15006648648648652"/>
        <n v="0.36859407407407413"/>
        <n v="-0.18042800000000001"/>
        <n v="0.30014402985074634"/>
        <n v="0.46567930232558141"/>
        <n v="0.38687607142857139"/>
        <n v="0.541722105263158"/>
        <n v="-9.7056666666666722E-2"/>
        <n v="0.57417055555555552"/>
        <n v="-0.14845965517241386"/>
        <n v="0.23829730769230767"/>
        <n v="0.35675696969696968"/>
        <n v="0.59381439393939395"/>
        <n v="0.32256102564102557"/>
        <n v="0.14005410852713188"/>
        <n v="8.1168636363636429E-2"/>
        <n v="0.21671139784946239"/>
        <n v="-6.0206756756756796E-2"/>
        <n v="0.32785982456140339"/>
        <n v="1.5742250000000058E-2"/>
        <n v="0.48594732026143794"/>
        <n v="0.45648836363636364"/>
        <n v="0.38720650793650785"/>
        <n v="0.43114370967741927"/>
        <n v="0.55238538461538467"/>
        <n v="-0.15109481481481488"/>
        <n v="1.2261355932203359E-2"/>
        <n v="0.46217406249999998"/>
        <n v="-0.14558152173913044"/>
        <n v="0.34581716417910446"/>
        <n v="-2.8829827586206853E-2"/>
        <n v="0.53019407407407404"/>
        <n v="2.1473333333333289E-2"/>
        <n v="0.12736293333333334"/>
        <n v="0.56689111111111112"/>
        <n v="0.13408725146198838"/>
        <n v="0.44411721311475399"/>
        <n v="0.37890964912280711"/>
        <n v="0.33027609375"/>
        <n v="0.5947007352941176"/>
        <n v="0.15241916666666672"/>
        <n v="5.1690000000000055E-2"/>
        <n v="0.21575562500000003"/>
        <n v="0.55911869565217409"/>
        <n v="0.30675384615384621"/>
        <n v="0.451908148148148"/>
        <n v="0.43664458333333339"/>
        <n v="0.49330799999999997"/>
        <n v="-1.9239791666666711E-2"/>
        <n v="0.10047642857142858"/>
        <n v="2.2072794117647017E-2"/>
        <n v="-1.8622799999999988E-2"/>
        <n v="-0.11130859649122801"/>
        <n v="0.42457285714285709"/>
        <n v="6.5407361111111131E-2"/>
        <n v="-4.0794623655913916E-2"/>
        <n v="0.57991050505050523"/>
        <n v="-0.16211377049180331"/>
        <n v="-0.18799210256410251"/>
        <n v="0.5114200000000001"/>
        <n v="0.55250901639344263"/>
        <n v="5.3921016949152481E-2"/>
        <n v="0.31339276785714276"/>
        <n v="-6.6816538461538497E-2"/>
        <n v="0.29590205673758868"/>
        <n v="0.58404891891891886"/>
        <n v="4.0878301886792416E-2"/>
        <n v="0.24655441666666666"/>
        <n v="0.33152179487179484"/>
        <n v="5.8956190476190558E-2"/>
        <n v="4.1704999999999928E-3"/>
        <n v="0.28208104166666664"/>
        <n v="0.56610406249999989"/>
        <n v="-0.10752878048780488"/>
        <n v="0.40312256410256408"/>
        <n v="0.32608374999999995"/>
        <n v="0.21958454545454548"/>
        <n v="-9.36392592592592E-2"/>
        <n v="-7.0741521739130453E-2"/>
        <n v="0.19667645161290326"/>
        <n v="0.19941680851063823"/>
        <n v="0.44479939393939388"/>
        <n v="-0.17156871794871795"/>
        <n v="0.47056794117647049"/>
        <n v="0.37819473214285715"/>
        <n v="0.11156090909090915"/>
        <n v="8.1378709677419295E-2"/>
        <n v="-0.11272357142857137"/>
        <n v="0.15488408163265299"/>
        <n v="5.2061224489795915E-2"/>
        <n v="0.29789624999999997"/>
        <n v="-5.0536666666666723E-2"/>
        <n v="0.59518625000000003"/>
        <n v="0.17153299999999999"/>
        <n v="0.12153052631578956"/>
        <n v="0.38031708333333336"/>
        <n v="5.2304516129032218E-2"/>
        <n v="3.5053741496598602E-2"/>
        <n v="-0.18698416666666667"/>
        <n v="-0.13538509090909093"/>
        <n v="0.25787596899224807"/>
        <n v="0.35757705882352947"/>
        <n v="0.16231833333333326"/>
        <n v="7.2254700854701252E-3"/>
        <n v="1.2092592592592593E-3"/>
        <n v="0.19733564102564094"/>
        <n v="0.55522965517241396"/>
        <n v="-0.13235098360655742"/>
        <n v="0.27067714285714289"/>
        <n v="0.12080851190476183"/>
        <n v="0.40528644444444445"/>
        <n v="-0.14842177777777785"/>
        <n v="-8.824730158730161E-2"/>
        <n v="0.54782137931034469"/>
        <n v="-6.2720289855072428E-2"/>
        <n v="4.366032786885244E-2"/>
        <n v="0.21868975308641969"/>
        <n v="0.21156256410256416"/>
        <n v="-7.6462539682539674E-2"/>
        <n v="0.53444566666666671"/>
        <n v="8.4805671641790981E-2"/>
        <n v="0.24454054644808751"/>
        <n v="0.51415604166666673"/>
        <n v="-7.9861818181818256E-2"/>
        <n v="9.2610312499999958E-2"/>
        <n v="0.45171742424242434"/>
        <n v="0.55998309090909082"/>
        <n v="0.18355919999999998"/>
        <n v="0.46598524691358018"/>
        <n v="0.1671991111111111"/>
        <n v="0.18134275862068974"/>
        <n v="8.6709090909090902E-2"/>
        <n v="-0.18521709401709396"/>
        <n v="0.24220608695652182"/>
        <n v="-0.19830809523809528"/>
        <n v="0.20513307692307689"/>
        <n v="-8.366809523809518E-2"/>
        <n v="9.5293285714285692E-2"/>
        <n v="2.3519007092198532E-2"/>
        <n v="0.1234030894308942"/>
        <n v="0.39710910256410248"/>
        <n v="8.6606600000000034E-2"/>
        <n v="-0.18656311827956984"/>
        <n v="0.35121535714285712"/>
        <n v="-0.18045326086956517"/>
        <n v="5.496107142857138E-2"/>
        <n v="0.43202666666666673"/>
        <n v="-0.1964783809523809"/>
        <n v="-0.11113129629629623"/>
        <n v="0.582565"/>
        <n v="0.52540929078014176"/>
        <n v="-6.3255384615384588E-2"/>
        <n v="0.17758836734693881"/>
        <n v="-1.4168275862069001E-2"/>
        <n v="-0.19716692307692305"/>
        <n v="0.31260421568627456"/>
        <n v="-6.2910526315788865E-3"/>
        <n v="0.31772855769230757"/>
        <n v="7.1502592592592576E-2"/>
        <n v="0.17485616666666659"/>
        <n v="-6.193928571428582E-3"/>
        <n v="0.22217148148148139"/>
        <n v="-0.16600894736842106"/>
        <n v="9.4418695652173951E-2"/>
        <n v="0.43314324324324333"/>
        <n v="0.25825999999999993"/>
        <n v="0.37651528985507238"/>
        <n v="0.43298508771929817"/>
        <n v="0.45296585858585853"/>
        <n v="-0.1552928571428572"/>
        <n v="0.25871180555555556"/>
        <n v="-0.16903596899224807"/>
        <n v="0.21137217948717948"/>
        <n v="-6.3543089430894331E-2"/>
        <n v="0.48233607142857154"/>
        <n v="8.571601990049757E-2"/>
        <n v="-5.3209538461538392E-2"/>
        <n v="4.4235217391304343E-2"/>
        <n v="-4.7883076923076889E-2"/>
        <n v="0.57182333333333324"/>
        <n v="0.55188865497076034"/>
        <n v="0.19470263157894729"/>
        <n v="0.48564333333333343"/>
        <n v="-9.9320606060606109E-2"/>
        <n v="0.28116060606060617"/>
        <n v="0.48567339622641514"/>
        <n v="-0.18548992307692311"/>
        <n v="0.51210464285714286"/>
        <n v="0.40594677419354841"/>
        <n v="0.53246387096774184"/>
        <n v="0.35782486486486476"/>
        <n v="0.45260803921568615"/>
        <n v="0.41450015873015866"/>
        <n v="7.9806266666666681E-2"/>
        <n v="-8.0568965517241381E-2"/>
        <n v="0.44484410256410262"/>
        <n v="0.19729555555555553"/>
        <n v="0.20039375000000004"/>
        <n v="0.33597407407407409"/>
        <n v="-9.1035714285714289E-2"/>
        <n v="0.16576863636363637"/>
        <n v="0.40351092592592586"/>
        <n v="6.9851604938271555E-2"/>
        <n v="0.4450495384615385"/>
        <n v="0.32395309090909097"/>
        <n v="0.20675807909604516"/>
        <n v="4.1695227272727196E-2"/>
        <n v="0.21784101562499997"/>
        <n v="-0.12293333333333338"/>
        <n v="0.1666223655913979"/>
        <n v="0.56849214285714278"/>
        <n v="0.41164238095238098"/>
        <n v="0.36721886666666659"/>
        <n v="0.21840689655172424"/>
        <n v="0.5023333333333333"/>
        <n v="0.13022833333333331"/>
        <n v="0.43537527272727272"/>
        <n v="0.48065851851851848"/>
        <n v="9.8213636363636229E-3"/>
        <n v="0.56713924242424241"/>
        <n v="3.8218983050847512E-2"/>
        <n v="0.1978062295081966"/>
        <n v="0.22672785185185193"/>
        <n v="0.26078786458333331"/>
        <n v="0.46937611111111116"/>
        <n v="0.36514327272727282"/>
        <n v="0.34025851851851863"/>
        <n v="0.2896419672131148"/>
        <n v="0.1795425454545454"/>
        <n v="0.42404804878048785"/>
        <n v="-0.12296666666666661"/>
        <n v="-0.17554901639344259"/>
        <n v="3.5410810810809945E-3"/>
        <n v="0.37113600000000008"/>
        <n v="0.34106760000000008"/>
        <n v="0.18526943089430906"/>
        <n v="0.49655630769230774"/>
        <n v="-0.18483564516129028"/>
        <n v="0.26125924242424242"/>
        <n v="-0.10623020408163263"/>
        <n v="0.19338185185185189"/>
        <n v="0.14116473684210532"/>
        <n v="0.19573145161290331"/>
        <n v="4.9504464285714022E-3"/>
        <n v="0.58714882352941167"/>
        <n v="-0.13628949494949499"/>
        <n v="0.1172492307692308"/>
        <n v="0.34327666666666673"/>
        <n v="-0.16181290322580646"/>
        <n v="0.53811645833333321"/>
        <n v="0.59200413793103457"/>
        <n v="0.32628849462365594"/>
        <n v="1.971087499999994E-2"/>
        <n v="5.4613157894736919E-2"/>
        <n v="-0.10538282051282052"/>
        <n v="-0.12480864197530864"/>
        <n v="0.29907315789473682"/>
        <n v="0.30616245614035076"/>
        <n v="-6.3984193548387039E-2"/>
        <n v="0.47037187878787873"/>
        <n v="2.5881266666666684E-2"/>
        <n v="6.3881956521739128E-2"/>
        <n v="-0.18720204545454544"/>
        <n v="0.16480310810810803"/>
        <n v="0.59043265625000008"/>
        <n v="-7.6281866666666656E-2"/>
        <n v="0.37446421875000008"/>
        <n v="-5.6913684210526345E-2"/>
        <n v="0.24392350877192981"/>
        <n v="0.44672833333333328"/>
        <n v="0.56180080808080812"/>
        <n v="0.10995119999999996"/>
        <n v="0.18845872549019602"/>
        <n v="0.25864588235294117"/>
        <n v="0.35150203703703703"/>
        <n v="-3.5418571428571473E-2"/>
        <n v="0.37986083333333331"/>
        <n v="0.14711377777777768"/>
        <n v="-5.1412424242424259E-2"/>
        <n v="0.53208198198198209"/>
        <n v="0.14970749999999999"/>
        <n v="0.3892139285714285"/>
        <n v="-0.19069212121212123"/>
        <n v="0.1396378125000001"/>
        <n v="0.45990652173913049"/>
        <n v="0.27193281249999995"/>
        <n v="0.55469052631578952"/>
      </sharedItems>
    </cacheField>
    <cacheField name="Months (SIP Start Date)" numFmtId="0" databaseField="0">
      <fieldGroup base="4">
        <rangePr groupBy="months" startDate="2020-01-01T00:00:00" endDate="2024-02-09T00:00:00"/>
        <groupItems count="14">
          <s v="&lt;1/1/2020"/>
          <s v="Jan"/>
          <s v="Feb"/>
          <s v="Mar"/>
          <s v="Apr"/>
          <s v="May"/>
          <s v="Jun"/>
          <s v="Jul"/>
          <s v="Aug"/>
          <s v="Sep"/>
          <s v="Oct"/>
          <s v="Nov"/>
          <s v="Dec"/>
          <s v="&gt;2/9/2024"/>
        </groupItems>
      </fieldGroup>
    </cacheField>
    <cacheField name="Quarters (SIP Start Date)" numFmtId="0" databaseField="0">
      <fieldGroup base="4">
        <rangePr groupBy="quarters" startDate="2020-01-01T00:00:00" endDate="2024-02-09T00:00:00"/>
        <groupItems count="6">
          <s v="&lt;1/1/2020"/>
          <s v="Qtr1"/>
          <s v="Qtr2"/>
          <s v="Qtr3"/>
          <s v="Qtr4"/>
          <s v="&gt;2/9/2024"/>
        </groupItems>
      </fieldGroup>
    </cacheField>
    <cacheField name="Years (SIP Start Date)" numFmtId="0" databaseField="0">
      <fieldGroup base="4">
        <rangePr groupBy="years" startDate="2020-01-01T00:00:00" endDate="2024-02-09T00:00:00"/>
        <groupItems count="7">
          <s v="&lt;1/1/2020"/>
          <s v="2020"/>
          <s v="2021"/>
          <s v="2022"/>
          <s v="2023"/>
          <s v="2024"/>
          <s v="&gt;2/9/2024"/>
        </groupItems>
      </fieldGroup>
    </cacheField>
  </cacheFields>
  <extLst>
    <ext xmlns:x14="http://schemas.microsoft.com/office/spreadsheetml/2009/9/main" uri="{725AE2AE-9491-48be-B2B4-4EB974FC3084}">
      <x14:pivotCacheDefinition pivotCacheId="316945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x v="0"/>
    <x v="0"/>
    <x v="0"/>
    <x v="0"/>
    <x v="0"/>
    <n v="81000"/>
    <n v="45.02"/>
    <x v="0"/>
    <x v="0"/>
  </r>
  <r>
    <x v="1"/>
    <x v="0"/>
    <x v="0"/>
    <x v="1"/>
    <x v="1"/>
    <x v="1"/>
    <n v="22500"/>
    <n v="16.829999999999998"/>
    <x v="1"/>
    <x v="1"/>
  </r>
  <r>
    <x v="2"/>
    <x v="1"/>
    <x v="1"/>
    <x v="2"/>
    <x v="2"/>
    <x v="0"/>
    <n v="30000"/>
    <n v="18.559999999999999"/>
    <x v="2"/>
    <x v="2"/>
  </r>
  <r>
    <x v="3"/>
    <x v="0"/>
    <x v="2"/>
    <x v="3"/>
    <x v="3"/>
    <x v="2"/>
    <n v="60000"/>
    <n v="42.64"/>
    <x v="3"/>
    <x v="3"/>
  </r>
  <r>
    <x v="4"/>
    <x v="2"/>
    <x v="3"/>
    <x v="3"/>
    <x v="4"/>
    <x v="0"/>
    <n v="81000"/>
    <n v="60.48"/>
    <x v="4"/>
    <x v="4"/>
  </r>
  <r>
    <x v="5"/>
    <x v="1"/>
    <x v="4"/>
    <x v="4"/>
    <x v="5"/>
    <x v="2"/>
    <n v="102000"/>
    <n v="37.81"/>
    <x v="5"/>
    <x v="5"/>
  </r>
  <r>
    <x v="4"/>
    <x v="0"/>
    <x v="1"/>
    <x v="3"/>
    <x v="6"/>
    <x v="3"/>
    <n v="117000"/>
    <n v="59.79"/>
    <x v="6"/>
    <x v="6"/>
  </r>
  <r>
    <x v="4"/>
    <x v="1"/>
    <x v="5"/>
    <x v="4"/>
    <x v="7"/>
    <x v="0"/>
    <n v="64500"/>
    <n v="10.41"/>
    <x v="7"/>
    <x v="7"/>
  </r>
  <r>
    <x v="6"/>
    <x v="3"/>
    <x v="1"/>
    <x v="1"/>
    <x v="8"/>
    <x v="1"/>
    <n v="30000"/>
    <n v="19.059999999999999"/>
    <x v="8"/>
    <x v="8"/>
  </r>
  <r>
    <x v="7"/>
    <x v="3"/>
    <x v="3"/>
    <x v="5"/>
    <x v="9"/>
    <x v="2"/>
    <n v="106000"/>
    <n v="13.65"/>
    <x v="9"/>
    <x v="9"/>
  </r>
  <r>
    <x v="6"/>
    <x v="4"/>
    <x v="5"/>
    <x v="0"/>
    <x v="10"/>
    <x v="2"/>
    <n v="54000"/>
    <n v="34.25"/>
    <x v="10"/>
    <x v="10"/>
  </r>
  <r>
    <x v="8"/>
    <x v="0"/>
    <x v="0"/>
    <x v="0"/>
    <x v="11"/>
    <x v="4"/>
    <n v="50000"/>
    <n v="50.03"/>
    <x v="11"/>
    <x v="11"/>
  </r>
  <r>
    <x v="8"/>
    <x v="1"/>
    <x v="2"/>
    <x v="2"/>
    <x v="12"/>
    <x v="4"/>
    <n v="62000"/>
    <n v="66.239999999999995"/>
    <x v="12"/>
    <x v="12"/>
  </r>
  <r>
    <x v="2"/>
    <x v="4"/>
    <x v="3"/>
    <x v="1"/>
    <x v="13"/>
    <x v="0"/>
    <n v="27000"/>
    <n v="53.71"/>
    <x v="13"/>
    <x v="13"/>
  </r>
  <r>
    <x v="1"/>
    <x v="3"/>
    <x v="2"/>
    <x v="4"/>
    <x v="14"/>
    <x v="2"/>
    <n v="104000"/>
    <n v="29.31"/>
    <x v="14"/>
    <x v="14"/>
  </r>
  <r>
    <x v="6"/>
    <x v="3"/>
    <x v="6"/>
    <x v="2"/>
    <x v="15"/>
    <x v="4"/>
    <n v="45000"/>
    <n v="15.37"/>
    <x v="15"/>
    <x v="15"/>
  </r>
  <r>
    <x v="8"/>
    <x v="0"/>
    <x v="7"/>
    <x v="5"/>
    <x v="16"/>
    <x v="0"/>
    <n v="69000"/>
    <n v="20.16"/>
    <x v="16"/>
    <x v="16"/>
  </r>
  <r>
    <x v="5"/>
    <x v="3"/>
    <x v="1"/>
    <x v="0"/>
    <x v="17"/>
    <x v="2"/>
    <n v="38000"/>
    <n v="14.98"/>
    <x v="17"/>
    <x v="17"/>
  </r>
  <r>
    <x v="8"/>
    <x v="1"/>
    <x v="6"/>
    <x v="5"/>
    <x v="18"/>
    <x v="2"/>
    <n v="66000"/>
    <n v="25.79"/>
    <x v="18"/>
    <x v="18"/>
  </r>
  <r>
    <x v="6"/>
    <x v="2"/>
    <x v="8"/>
    <x v="0"/>
    <x v="19"/>
    <x v="0"/>
    <n v="94500"/>
    <n v="64.48"/>
    <x v="19"/>
    <x v="19"/>
  </r>
  <r>
    <x v="4"/>
    <x v="2"/>
    <x v="3"/>
    <x v="5"/>
    <x v="20"/>
    <x v="3"/>
    <n v="180000"/>
    <n v="46.87"/>
    <x v="20"/>
    <x v="20"/>
  </r>
  <r>
    <x v="2"/>
    <x v="4"/>
    <x v="4"/>
    <x v="4"/>
    <x v="21"/>
    <x v="3"/>
    <n v="93000"/>
    <n v="53.32"/>
    <x v="21"/>
    <x v="21"/>
  </r>
  <r>
    <x v="7"/>
    <x v="1"/>
    <x v="0"/>
    <x v="1"/>
    <x v="22"/>
    <x v="1"/>
    <n v="18000"/>
    <n v="19.79"/>
    <x v="22"/>
    <x v="22"/>
  </r>
  <r>
    <x v="1"/>
    <x v="0"/>
    <x v="2"/>
    <x v="2"/>
    <x v="23"/>
    <x v="3"/>
    <n v="177000"/>
    <n v="11.97"/>
    <x v="23"/>
    <x v="23"/>
  </r>
  <r>
    <x v="8"/>
    <x v="2"/>
    <x v="2"/>
    <x v="4"/>
    <x v="24"/>
    <x v="1"/>
    <n v="28500"/>
    <n v="58.8"/>
    <x v="24"/>
    <x v="24"/>
  </r>
  <r>
    <x v="2"/>
    <x v="1"/>
    <x v="1"/>
    <x v="3"/>
    <x v="25"/>
    <x v="2"/>
    <n v="110000"/>
    <n v="35.049999999999997"/>
    <x v="25"/>
    <x v="25"/>
  </r>
  <r>
    <x v="8"/>
    <x v="2"/>
    <x v="7"/>
    <x v="4"/>
    <x v="26"/>
    <x v="3"/>
    <n v="120000"/>
    <n v="44.96"/>
    <x v="26"/>
    <x v="26"/>
  </r>
  <r>
    <x v="4"/>
    <x v="1"/>
    <x v="0"/>
    <x v="5"/>
    <x v="27"/>
    <x v="4"/>
    <n v="44000"/>
    <n v="47.14"/>
    <x v="27"/>
    <x v="27"/>
  </r>
  <r>
    <x v="5"/>
    <x v="2"/>
    <x v="9"/>
    <x v="3"/>
    <x v="28"/>
    <x v="1"/>
    <n v="32000"/>
    <n v="17.59"/>
    <x v="28"/>
    <x v="28"/>
  </r>
  <r>
    <x v="5"/>
    <x v="4"/>
    <x v="3"/>
    <x v="3"/>
    <x v="29"/>
    <x v="1"/>
    <n v="14500"/>
    <n v="17.18"/>
    <x v="29"/>
    <x v="29"/>
  </r>
  <r>
    <x v="2"/>
    <x v="0"/>
    <x v="8"/>
    <x v="0"/>
    <x v="10"/>
    <x v="1"/>
    <n v="13500"/>
    <n v="19.62"/>
    <x v="30"/>
    <x v="30"/>
  </r>
  <r>
    <x v="0"/>
    <x v="4"/>
    <x v="7"/>
    <x v="3"/>
    <x v="30"/>
    <x v="0"/>
    <n v="91500"/>
    <n v="25.26"/>
    <x v="31"/>
    <x v="31"/>
  </r>
  <r>
    <x v="4"/>
    <x v="2"/>
    <x v="2"/>
    <x v="0"/>
    <x v="31"/>
    <x v="4"/>
    <n v="53000"/>
    <n v="44.94"/>
    <x v="32"/>
    <x v="32"/>
  </r>
  <r>
    <x v="3"/>
    <x v="1"/>
    <x v="3"/>
    <x v="5"/>
    <x v="32"/>
    <x v="3"/>
    <n v="144000"/>
    <n v="37.76"/>
    <x v="33"/>
    <x v="33"/>
  </r>
  <r>
    <x v="9"/>
    <x v="2"/>
    <x v="9"/>
    <x v="5"/>
    <x v="33"/>
    <x v="2"/>
    <n v="82000"/>
    <n v="61.97"/>
    <x v="34"/>
    <x v="34"/>
  </r>
  <r>
    <x v="1"/>
    <x v="3"/>
    <x v="2"/>
    <x v="2"/>
    <x v="34"/>
    <x v="4"/>
    <n v="37000"/>
    <n v="11.33"/>
    <x v="35"/>
    <x v="35"/>
  </r>
  <r>
    <x v="6"/>
    <x v="0"/>
    <x v="1"/>
    <x v="5"/>
    <x v="35"/>
    <x v="1"/>
    <n v="31500"/>
    <n v="14.83"/>
    <x v="36"/>
    <x v="36"/>
  </r>
  <r>
    <x v="5"/>
    <x v="3"/>
    <x v="1"/>
    <x v="2"/>
    <x v="8"/>
    <x v="3"/>
    <n v="180000"/>
    <n v="44.14"/>
    <x v="37"/>
    <x v="37"/>
  </r>
  <r>
    <x v="2"/>
    <x v="2"/>
    <x v="0"/>
    <x v="2"/>
    <x v="36"/>
    <x v="2"/>
    <n v="54000"/>
    <n v="47.05"/>
    <x v="38"/>
    <x v="38"/>
  </r>
  <r>
    <x v="6"/>
    <x v="2"/>
    <x v="4"/>
    <x v="2"/>
    <x v="37"/>
    <x v="3"/>
    <n v="111000"/>
    <n v="50.52"/>
    <x v="39"/>
    <x v="39"/>
  </r>
  <r>
    <x v="5"/>
    <x v="4"/>
    <x v="9"/>
    <x v="1"/>
    <x v="38"/>
    <x v="0"/>
    <n v="100500"/>
    <n v="32.020000000000003"/>
    <x v="40"/>
    <x v="40"/>
  </r>
  <r>
    <x v="5"/>
    <x v="3"/>
    <x v="1"/>
    <x v="2"/>
    <x v="39"/>
    <x v="0"/>
    <n v="66000"/>
    <n v="52.7"/>
    <x v="41"/>
    <x v="41"/>
  </r>
  <r>
    <x v="8"/>
    <x v="0"/>
    <x v="9"/>
    <x v="0"/>
    <x v="40"/>
    <x v="1"/>
    <n v="9000"/>
    <n v="10.67"/>
    <x v="42"/>
    <x v="42"/>
  </r>
  <r>
    <x v="6"/>
    <x v="4"/>
    <x v="3"/>
    <x v="0"/>
    <x v="41"/>
    <x v="0"/>
    <n v="72000"/>
    <n v="13.63"/>
    <x v="43"/>
    <x v="43"/>
  </r>
  <r>
    <x v="8"/>
    <x v="3"/>
    <x v="2"/>
    <x v="2"/>
    <x v="42"/>
    <x v="2"/>
    <n v="100000"/>
    <n v="22.88"/>
    <x v="44"/>
    <x v="44"/>
  </r>
  <r>
    <x v="7"/>
    <x v="4"/>
    <x v="9"/>
    <x v="5"/>
    <x v="43"/>
    <x v="2"/>
    <n v="84000"/>
    <n v="23.89"/>
    <x v="45"/>
    <x v="45"/>
  </r>
  <r>
    <x v="5"/>
    <x v="2"/>
    <x v="8"/>
    <x v="0"/>
    <x v="44"/>
    <x v="4"/>
    <n v="65000"/>
    <n v="59.69"/>
    <x v="46"/>
    <x v="46"/>
  </r>
  <r>
    <x v="2"/>
    <x v="3"/>
    <x v="3"/>
    <x v="2"/>
    <x v="45"/>
    <x v="4"/>
    <n v="25000"/>
    <n v="48.8"/>
    <x v="47"/>
    <x v="47"/>
  </r>
  <r>
    <x v="9"/>
    <x v="4"/>
    <x v="0"/>
    <x v="5"/>
    <x v="46"/>
    <x v="0"/>
    <n v="76500"/>
    <n v="64.400000000000006"/>
    <x v="48"/>
    <x v="48"/>
  </r>
  <r>
    <x v="9"/>
    <x v="4"/>
    <x v="4"/>
    <x v="4"/>
    <x v="47"/>
    <x v="3"/>
    <n v="66000"/>
    <n v="35.74"/>
    <x v="49"/>
    <x v="49"/>
  </r>
  <r>
    <x v="9"/>
    <x v="0"/>
    <x v="9"/>
    <x v="1"/>
    <x v="48"/>
    <x v="1"/>
    <n v="13500"/>
    <n v="22.74"/>
    <x v="50"/>
    <x v="50"/>
  </r>
  <r>
    <x v="9"/>
    <x v="1"/>
    <x v="0"/>
    <x v="1"/>
    <x v="49"/>
    <x v="0"/>
    <n v="31500"/>
    <n v="66.760000000000005"/>
    <x v="51"/>
    <x v="51"/>
  </r>
  <r>
    <x v="7"/>
    <x v="0"/>
    <x v="1"/>
    <x v="3"/>
    <x v="50"/>
    <x v="0"/>
    <n v="100500"/>
    <n v="53"/>
    <x v="52"/>
    <x v="52"/>
  </r>
  <r>
    <x v="3"/>
    <x v="2"/>
    <x v="7"/>
    <x v="5"/>
    <x v="51"/>
    <x v="4"/>
    <n v="18000"/>
    <n v="69.22"/>
    <x v="53"/>
    <x v="53"/>
  </r>
  <r>
    <x v="4"/>
    <x v="1"/>
    <x v="0"/>
    <x v="0"/>
    <x v="52"/>
    <x v="0"/>
    <n v="63000"/>
    <n v="27.08"/>
    <x v="54"/>
    <x v="54"/>
  </r>
  <r>
    <x v="5"/>
    <x v="1"/>
    <x v="4"/>
    <x v="2"/>
    <x v="53"/>
    <x v="2"/>
    <n v="48000"/>
    <n v="25.26"/>
    <x v="55"/>
    <x v="55"/>
  </r>
  <r>
    <x v="3"/>
    <x v="4"/>
    <x v="2"/>
    <x v="4"/>
    <x v="54"/>
    <x v="1"/>
    <n v="30000"/>
    <n v="10.5"/>
    <x v="56"/>
    <x v="56"/>
  </r>
  <r>
    <x v="1"/>
    <x v="0"/>
    <x v="0"/>
    <x v="0"/>
    <x v="55"/>
    <x v="0"/>
    <n v="49500"/>
    <n v="44.5"/>
    <x v="57"/>
    <x v="57"/>
  </r>
  <r>
    <x v="3"/>
    <x v="3"/>
    <x v="7"/>
    <x v="3"/>
    <x v="27"/>
    <x v="4"/>
    <n v="44000"/>
    <n v="13.35"/>
    <x v="58"/>
    <x v="58"/>
  </r>
  <r>
    <x v="4"/>
    <x v="0"/>
    <x v="8"/>
    <x v="3"/>
    <x v="56"/>
    <x v="0"/>
    <n v="63000"/>
    <n v="62.56"/>
    <x v="59"/>
    <x v="59"/>
  </r>
  <r>
    <x v="5"/>
    <x v="4"/>
    <x v="7"/>
    <x v="0"/>
    <x v="57"/>
    <x v="1"/>
    <n v="17500"/>
    <n v="31.62"/>
    <x v="60"/>
    <x v="60"/>
  </r>
  <r>
    <x v="9"/>
    <x v="4"/>
    <x v="9"/>
    <x v="1"/>
    <x v="58"/>
    <x v="4"/>
    <n v="27000"/>
    <n v="54.42"/>
    <x v="61"/>
    <x v="61"/>
  </r>
  <r>
    <x v="3"/>
    <x v="3"/>
    <x v="1"/>
    <x v="2"/>
    <x v="59"/>
    <x v="2"/>
    <n v="50000"/>
    <n v="39.86"/>
    <x v="62"/>
    <x v="62"/>
  </r>
  <r>
    <x v="3"/>
    <x v="0"/>
    <x v="2"/>
    <x v="1"/>
    <x v="60"/>
    <x v="3"/>
    <n v="129000"/>
    <n v="16.78"/>
    <x v="63"/>
    <x v="63"/>
  </r>
  <r>
    <x v="8"/>
    <x v="1"/>
    <x v="3"/>
    <x v="1"/>
    <x v="61"/>
    <x v="3"/>
    <n v="192000"/>
    <n v="35.630000000000003"/>
    <x v="64"/>
    <x v="64"/>
  </r>
  <r>
    <x v="0"/>
    <x v="2"/>
    <x v="5"/>
    <x v="4"/>
    <x v="62"/>
    <x v="0"/>
    <n v="39000"/>
    <n v="67.81"/>
    <x v="65"/>
    <x v="65"/>
  </r>
  <r>
    <x v="9"/>
    <x v="2"/>
    <x v="3"/>
    <x v="2"/>
    <x v="63"/>
    <x v="1"/>
    <n v="27500"/>
    <n v="45.42"/>
    <x v="66"/>
    <x v="66"/>
  </r>
  <r>
    <x v="0"/>
    <x v="3"/>
    <x v="4"/>
    <x v="2"/>
    <x v="64"/>
    <x v="4"/>
    <n v="43000"/>
    <n v="40.42"/>
    <x v="67"/>
    <x v="67"/>
  </r>
  <r>
    <x v="7"/>
    <x v="0"/>
    <x v="7"/>
    <x v="0"/>
    <x v="65"/>
    <x v="4"/>
    <n v="32000"/>
    <n v="19.170000000000002"/>
    <x v="68"/>
    <x v="68"/>
  </r>
  <r>
    <x v="5"/>
    <x v="1"/>
    <x v="2"/>
    <x v="2"/>
    <x v="66"/>
    <x v="1"/>
    <n v="21000"/>
    <n v="63.17"/>
    <x v="69"/>
    <x v="69"/>
  </r>
  <r>
    <x v="3"/>
    <x v="0"/>
    <x v="4"/>
    <x v="2"/>
    <x v="67"/>
    <x v="4"/>
    <n v="21000"/>
    <n v="60.55"/>
    <x v="70"/>
    <x v="70"/>
  </r>
  <r>
    <x v="0"/>
    <x v="2"/>
    <x v="4"/>
    <x v="4"/>
    <x v="68"/>
    <x v="0"/>
    <n v="30000"/>
    <n v="48.74"/>
    <x v="71"/>
    <x v="71"/>
  </r>
  <r>
    <x v="6"/>
    <x v="3"/>
    <x v="3"/>
    <x v="2"/>
    <x v="69"/>
    <x v="4"/>
    <n v="48000"/>
    <n v="18.079999999999998"/>
    <x v="72"/>
    <x v="72"/>
  </r>
  <r>
    <x v="8"/>
    <x v="0"/>
    <x v="0"/>
    <x v="4"/>
    <x v="70"/>
    <x v="4"/>
    <n v="47000"/>
    <n v="15.62"/>
    <x v="73"/>
    <x v="73"/>
  </r>
  <r>
    <x v="7"/>
    <x v="2"/>
    <x v="3"/>
    <x v="1"/>
    <x v="71"/>
    <x v="4"/>
    <n v="37000"/>
    <n v="20.59"/>
    <x v="74"/>
    <x v="74"/>
  </r>
  <r>
    <x v="2"/>
    <x v="3"/>
    <x v="7"/>
    <x v="0"/>
    <x v="72"/>
    <x v="2"/>
    <n v="78000"/>
    <n v="38.14"/>
    <x v="75"/>
    <x v="75"/>
  </r>
  <r>
    <x v="8"/>
    <x v="4"/>
    <x v="9"/>
    <x v="1"/>
    <x v="50"/>
    <x v="3"/>
    <n v="201000"/>
    <n v="25.02"/>
    <x v="76"/>
    <x v="76"/>
  </r>
  <r>
    <x v="2"/>
    <x v="2"/>
    <x v="7"/>
    <x v="2"/>
    <x v="73"/>
    <x v="3"/>
    <n v="147000"/>
    <n v="54.74"/>
    <x v="77"/>
    <x v="77"/>
  </r>
  <r>
    <x v="8"/>
    <x v="3"/>
    <x v="7"/>
    <x v="2"/>
    <x v="74"/>
    <x v="2"/>
    <n v="42000"/>
    <n v="57.57"/>
    <x v="78"/>
    <x v="78"/>
  </r>
  <r>
    <x v="9"/>
    <x v="0"/>
    <x v="9"/>
    <x v="5"/>
    <x v="75"/>
    <x v="3"/>
    <n v="102000"/>
    <n v="44.43"/>
    <x v="79"/>
    <x v="79"/>
  </r>
  <r>
    <x v="5"/>
    <x v="0"/>
    <x v="4"/>
    <x v="0"/>
    <x v="76"/>
    <x v="1"/>
    <n v="29000"/>
    <n v="26.73"/>
    <x v="80"/>
    <x v="80"/>
  </r>
  <r>
    <x v="1"/>
    <x v="0"/>
    <x v="5"/>
    <x v="2"/>
    <x v="77"/>
    <x v="4"/>
    <n v="33000"/>
    <n v="54.89"/>
    <x v="81"/>
    <x v="81"/>
  </r>
  <r>
    <x v="1"/>
    <x v="4"/>
    <x v="0"/>
    <x v="2"/>
    <x v="78"/>
    <x v="3"/>
    <n v="81000"/>
    <n v="60.24"/>
    <x v="82"/>
    <x v="82"/>
  </r>
  <r>
    <x v="6"/>
    <x v="0"/>
    <x v="8"/>
    <x v="4"/>
    <x v="79"/>
    <x v="2"/>
    <n v="124000"/>
    <n v="19.45"/>
    <x v="83"/>
    <x v="83"/>
  </r>
  <r>
    <x v="5"/>
    <x v="2"/>
    <x v="3"/>
    <x v="2"/>
    <x v="80"/>
    <x v="0"/>
    <n v="28500"/>
    <n v="42.42"/>
    <x v="84"/>
    <x v="84"/>
  </r>
  <r>
    <x v="7"/>
    <x v="3"/>
    <x v="2"/>
    <x v="2"/>
    <x v="81"/>
    <x v="1"/>
    <n v="11000"/>
    <n v="46.13"/>
    <x v="85"/>
    <x v="85"/>
  </r>
  <r>
    <x v="1"/>
    <x v="1"/>
    <x v="8"/>
    <x v="2"/>
    <x v="82"/>
    <x v="3"/>
    <n v="117000"/>
    <n v="62.33"/>
    <x v="86"/>
    <x v="86"/>
  </r>
  <r>
    <x v="4"/>
    <x v="3"/>
    <x v="9"/>
    <x v="2"/>
    <x v="83"/>
    <x v="2"/>
    <n v="84000"/>
    <n v="33.92"/>
    <x v="87"/>
    <x v="87"/>
  </r>
  <r>
    <x v="2"/>
    <x v="4"/>
    <x v="9"/>
    <x v="0"/>
    <x v="84"/>
    <x v="2"/>
    <n v="72000"/>
    <n v="39.65"/>
    <x v="88"/>
    <x v="88"/>
  </r>
  <r>
    <x v="1"/>
    <x v="0"/>
    <x v="0"/>
    <x v="1"/>
    <x v="85"/>
    <x v="4"/>
    <n v="32000"/>
    <n v="43.12"/>
    <x v="89"/>
    <x v="89"/>
  </r>
  <r>
    <x v="2"/>
    <x v="4"/>
    <x v="1"/>
    <x v="5"/>
    <x v="86"/>
    <x v="4"/>
    <n v="50000"/>
    <n v="15.05"/>
    <x v="90"/>
    <x v="90"/>
  </r>
  <r>
    <x v="9"/>
    <x v="3"/>
    <x v="1"/>
    <x v="5"/>
    <x v="87"/>
    <x v="2"/>
    <n v="82000"/>
    <n v="57.9"/>
    <x v="91"/>
    <x v="91"/>
  </r>
  <r>
    <x v="2"/>
    <x v="4"/>
    <x v="0"/>
    <x v="2"/>
    <x v="88"/>
    <x v="3"/>
    <n v="126000"/>
    <n v="25.99"/>
    <x v="92"/>
    <x v="92"/>
  </r>
  <r>
    <x v="0"/>
    <x v="3"/>
    <x v="4"/>
    <x v="4"/>
    <x v="89"/>
    <x v="3"/>
    <n v="99000"/>
    <n v="43.35"/>
    <x v="93"/>
    <x v="93"/>
  </r>
  <r>
    <x v="1"/>
    <x v="4"/>
    <x v="3"/>
    <x v="4"/>
    <x v="90"/>
    <x v="1"/>
    <n v="17500"/>
    <n v="33.85"/>
    <x v="94"/>
    <x v="94"/>
  </r>
  <r>
    <x v="1"/>
    <x v="1"/>
    <x v="5"/>
    <x v="1"/>
    <x v="91"/>
    <x v="3"/>
    <n v="99000"/>
    <n v="51.47"/>
    <x v="95"/>
    <x v="95"/>
  </r>
  <r>
    <x v="6"/>
    <x v="4"/>
    <x v="4"/>
    <x v="0"/>
    <x v="92"/>
    <x v="1"/>
    <n v="18000"/>
    <n v="13.02"/>
    <x v="96"/>
    <x v="96"/>
  </r>
  <r>
    <x v="9"/>
    <x v="4"/>
    <x v="4"/>
    <x v="1"/>
    <x v="93"/>
    <x v="3"/>
    <n v="174000"/>
    <n v="53.58"/>
    <x v="97"/>
    <x v="97"/>
  </r>
  <r>
    <x v="8"/>
    <x v="0"/>
    <x v="9"/>
    <x v="2"/>
    <x v="94"/>
    <x v="0"/>
    <n v="94500"/>
    <n v="50.96"/>
    <x v="98"/>
    <x v="98"/>
  </r>
  <r>
    <x v="6"/>
    <x v="2"/>
    <x v="0"/>
    <x v="3"/>
    <x v="95"/>
    <x v="2"/>
    <n v="38000"/>
    <n v="58.47"/>
    <x v="99"/>
    <x v="99"/>
  </r>
  <r>
    <x v="7"/>
    <x v="3"/>
    <x v="7"/>
    <x v="4"/>
    <x v="96"/>
    <x v="1"/>
    <n v="26500"/>
    <n v="41.46"/>
    <x v="100"/>
    <x v="100"/>
  </r>
  <r>
    <x v="3"/>
    <x v="1"/>
    <x v="0"/>
    <x v="1"/>
    <x v="97"/>
    <x v="3"/>
    <n v="75000"/>
    <n v="45.97"/>
    <x v="101"/>
    <x v="101"/>
  </r>
  <r>
    <x v="1"/>
    <x v="2"/>
    <x v="4"/>
    <x v="4"/>
    <x v="98"/>
    <x v="2"/>
    <n v="50000"/>
    <n v="64.61"/>
    <x v="102"/>
    <x v="102"/>
  </r>
  <r>
    <x v="3"/>
    <x v="0"/>
    <x v="9"/>
    <x v="3"/>
    <x v="99"/>
    <x v="2"/>
    <n v="72000"/>
    <n v="49.58"/>
    <x v="103"/>
    <x v="103"/>
  </r>
  <r>
    <x v="1"/>
    <x v="0"/>
    <x v="3"/>
    <x v="1"/>
    <x v="100"/>
    <x v="2"/>
    <n v="128000"/>
    <n v="66.849999999999994"/>
    <x v="104"/>
    <x v="104"/>
  </r>
  <r>
    <x v="5"/>
    <x v="4"/>
    <x v="2"/>
    <x v="0"/>
    <x v="101"/>
    <x v="3"/>
    <n v="138000"/>
    <n v="39.880000000000003"/>
    <x v="105"/>
    <x v="105"/>
  </r>
  <r>
    <x v="9"/>
    <x v="1"/>
    <x v="9"/>
    <x v="4"/>
    <x v="102"/>
    <x v="2"/>
    <n v="78000"/>
    <n v="40.659999999999997"/>
    <x v="106"/>
    <x v="106"/>
  </r>
  <r>
    <x v="2"/>
    <x v="2"/>
    <x v="5"/>
    <x v="0"/>
    <x v="103"/>
    <x v="0"/>
    <n v="73500"/>
    <n v="15.49"/>
    <x v="107"/>
    <x v="107"/>
  </r>
  <r>
    <x v="9"/>
    <x v="0"/>
    <x v="6"/>
    <x v="0"/>
    <x v="104"/>
    <x v="3"/>
    <n v="168000"/>
    <n v="18.63"/>
    <x v="108"/>
    <x v="108"/>
  </r>
  <r>
    <x v="1"/>
    <x v="4"/>
    <x v="5"/>
    <x v="4"/>
    <x v="105"/>
    <x v="3"/>
    <n v="189000"/>
    <n v="23.9"/>
    <x v="109"/>
    <x v="109"/>
  </r>
  <r>
    <x v="7"/>
    <x v="3"/>
    <x v="9"/>
    <x v="3"/>
    <x v="3"/>
    <x v="3"/>
    <n v="90000"/>
    <n v="54.61"/>
    <x v="110"/>
    <x v="110"/>
  </r>
  <r>
    <x v="3"/>
    <x v="0"/>
    <x v="5"/>
    <x v="3"/>
    <x v="29"/>
    <x v="3"/>
    <n v="87000"/>
    <n v="38.659999999999997"/>
    <x v="111"/>
    <x v="111"/>
  </r>
  <r>
    <x v="6"/>
    <x v="4"/>
    <x v="2"/>
    <x v="4"/>
    <x v="106"/>
    <x v="4"/>
    <n v="52000"/>
    <n v="56.04"/>
    <x v="112"/>
    <x v="112"/>
  </r>
  <r>
    <x v="4"/>
    <x v="2"/>
    <x v="4"/>
    <x v="2"/>
    <x v="107"/>
    <x v="3"/>
    <n v="165000"/>
    <n v="21.18"/>
    <x v="113"/>
    <x v="113"/>
  </r>
  <r>
    <x v="9"/>
    <x v="3"/>
    <x v="3"/>
    <x v="5"/>
    <x v="108"/>
    <x v="3"/>
    <n v="153000"/>
    <n v="11.05"/>
    <x v="114"/>
    <x v="114"/>
  </r>
  <r>
    <x v="2"/>
    <x v="4"/>
    <x v="0"/>
    <x v="2"/>
    <x v="109"/>
    <x v="2"/>
    <n v="92000"/>
    <n v="11.17"/>
    <x v="115"/>
    <x v="115"/>
  </r>
  <r>
    <x v="8"/>
    <x v="1"/>
    <x v="7"/>
    <x v="2"/>
    <x v="110"/>
    <x v="0"/>
    <n v="36000"/>
    <n v="21.99"/>
    <x v="116"/>
    <x v="116"/>
  </r>
  <r>
    <x v="1"/>
    <x v="2"/>
    <x v="4"/>
    <x v="0"/>
    <x v="111"/>
    <x v="2"/>
    <n v="46000"/>
    <n v="46.79"/>
    <x v="117"/>
    <x v="117"/>
  </r>
  <r>
    <x v="0"/>
    <x v="4"/>
    <x v="5"/>
    <x v="3"/>
    <x v="112"/>
    <x v="2"/>
    <n v="72000"/>
    <n v="26.34"/>
    <x v="118"/>
    <x v="118"/>
  </r>
  <r>
    <x v="7"/>
    <x v="4"/>
    <x v="9"/>
    <x v="4"/>
    <x v="113"/>
    <x v="0"/>
    <n v="60000"/>
    <n v="52.08"/>
    <x v="119"/>
    <x v="119"/>
  </r>
  <r>
    <x v="5"/>
    <x v="2"/>
    <x v="9"/>
    <x v="4"/>
    <x v="114"/>
    <x v="3"/>
    <n v="108000"/>
    <n v="13.08"/>
    <x v="120"/>
    <x v="120"/>
  </r>
  <r>
    <x v="7"/>
    <x v="1"/>
    <x v="5"/>
    <x v="0"/>
    <x v="115"/>
    <x v="2"/>
    <n v="66000"/>
    <n v="19.96"/>
    <x v="121"/>
    <x v="121"/>
  </r>
  <r>
    <x v="1"/>
    <x v="2"/>
    <x v="3"/>
    <x v="5"/>
    <x v="116"/>
    <x v="1"/>
    <n v="29000"/>
    <n v="14.35"/>
    <x v="122"/>
    <x v="122"/>
  </r>
  <r>
    <x v="0"/>
    <x v="0"/>
    <x v="6"/>
    <x v="3"/>
    <x v="117"/>
    <x v="3"/>
    <n v="72000"/>
    <n v="27.34"/>
    <x v="123"/>
    <x v="123"/>
  </r>
  <r>
    <x v="0"/>
    <x v="2"/>
    <x v="3"/>
    <x v="4"/>
    <x v="32"/>
    <x v="0"/>
    <n v="72000"/>
    <n v="18.71"/>
    <x v="124"/>
    <x v="124"/>
  </r>
  <r>
    <x v="4"/>
    <x v="3"/>
    <x v="6"/>
    <x v="3"/>
    <x v="118"/>
    <x v="0"/>
    <n v="90000"/>
    <n v="37.78"/>
    <x v="125"/>
    <x v="125"/>
  </r>
  <r>
    <x v="2"/>
    <x v="1"/>
    <x v="8"/>
    <x v="4"/>
    <x v="119"/>
    <x v="1"/>
    <n v="17500"/>
    <n v="16.690000000000001"/>
    <x v="126"/>
    <x v="126"/>
  </r>
  <r>
    <x v="9"/>
    <x v="2"/>
    <x v="9"/>
    <x v="5"/>
    <x v="120"/>
    <x v="4"/>
    <n v="33000"/>
    <n v="45.24"/>
    <x v="127"/>
    <x v="127"/>
  </r>
  <r>
    <x v="6"/>
    <x v="3"/>
    <x v="9"/>
    <x v="2"/>
    <x v="121"/>
    <x v="3"/>
    <n v="126000"/>
    <n v="59.06"/>
    <x v="128"/>
    <x v="128"/>
  </r>
  <r>
    <x v="8"/>
    <x v="3"/>
    <x v="6"/>
    <x v="5"/>
    <x v="122"/>
    <x v="2"/>
    <n v="92000"/>
    <n v="61.6"/>
    <x v="129"/>
    <x v="129"/>
  </r>
  <r>
    <x v="4"/>
    <x v="0"/>
    <x v="6"/>
    <x v="2"/>
    <x v="123"/>
    <x v="0"/>
    <n v="88500"/>
    <n v="23.14"/>
    <x v="130"/>
    <x v="130"/>
  </r>
  <r>
    <x v="2"/>
    <x v="4"/>
    <x v="2"/>
    <x v="4"/>
    <x v="124"/>
    <x v="3"/>
    <n v="117000"/>
    <n v="50.97"/>
    <x v="131"/>
    <x v="131"/>
  </r>
  <r>
    <x v="1"/>
    <x v="1"/>
    <x v="4"/>
    <x v="3"/>
    <x v="125"/>
    <x v="4"/>
    <n v="46000"/>
    <n v="28.92"/>
    <x v="132"/>
    <x v="132"/>
  </r>
  <r>
    <x v="5"/>
    <x v="2"/>
    <x v="9"/>
    <x v="5"/>
    <x v="126"/>
    <x v="0"/>
    <n v="96000"/>
    <n v="29.51"/>
    <x v="133"/>
    <x v="133"/>
  </r>
  <r>
    <x v="9"/>
    <x v="2"/>
    <x v="3"/>
    <x v="4"/>
    <x v="69"/>
    <x v="1"/>
    <n v="24000"/>
    <n v="31.35"/>
    <x v="134"/>
    <x v="134"/>
  </r>
  <r>
    <x v="3"/>
    <x v="4"/>
    <x v="3"/>
    <x v="5"/>
    <x v="127"/>
    <x v="1"/>
    <n v="30500"/>
    <n v="53.84"/>
    <x v="135"/>
    <x v="135"/>
  </r>
  <r>
    <x v="4"/>
    <x v="1"/>
    <x v="3"/>
    <x v="3"/>
    <x v="128"/>
    <x v="3"/>
    <n v="150000"/>
    <n v="65.09"/>
    <x v="136"/>
    <x v="136"/>
  </r>
  <r>
    <x v="2"/>
    <x v="4"/>
    <x v="5"/>
    <x v="5"/>
    <x v="109"/>
    <x v="0"/>
    <n v="69000"/>
    <n v="69.11"/>
    <x v="137"/>
    <x v="137"/>
  </r>
  <r>
    <x v="7"/>
    <x v="3"/>
    <x v="4"/>
    <x v="3"/>
    <x v="129"/>
    <x v="4"/>
    <n v="61000"/>
    <n v="24.37"/>
    <x v="138"/>
    <x v="138"/>
  </r>
  <r>
    <x v="7"/>
    <x v="3"/>
    <x v="7"/>
    <x v="1"/>
    <x v="89"/>
    <x v="4"/>
    <n v="33000"/>
    <n v="40.5"/>
    <x v="139"/>
    <x v="139"/>
  </r>
  <r>
    <x v="5"/>
    <x v="4"/>
    <x v="6"/>
    <x v="1"/>
    <x v="130"/>
    <x v="2"/>
    <n v="48000"/>
    <n v="42.07"/>
    <x v="140"/>
    <x v="140"/>
  </r>
  <r>
    <x v="9"/>
    <x v="4"/>
    <x v="5"/>
    <x v="5"/>
    <x v="131"/>
    <x v="0"/>
    <n v="81000"/>
    <n v="20.329999999999998"/>
    <x v="141"/>
    <x v="141"/>
  </r>
  <r>
    <x v="9"/>
    <x v="1"/>
    <x v="6"/>
    <x v="4"/>
    <x v="132"/>
    <x v="4"/>
    <n v="61000"/>
    <n v="62.74"/>
    <x v="142"/>
    <x v="142"/>
  </r>
  <r>
    <x v="8"/>
    <x v="1"/>
    <x v="2"/>
    <x v="5"/>
    <x v="133"/>
    <x v="3"/>
    <n v="153000"/>
    <n v="31.52"/>
    <x v="143"/>
    <x v="143"/>
  </r>
  <r>
    <x v="1"/>
    <x v="2"/>
    <x v="5"/>
    <x v="3"/>
    <x v="134"/>
    <x v="1"/>
    <n v="27500"/>
    <n v="55.17"/>
    <x v="144"/>
    <x v="144"/>
  </r>
  <r>
    <x v="7"/>
    <x v="0"/>
    <x v="1"/>
    <x v="2"/>
    <x v="135"/>
    <x v="0"/>
    <n v="43500"/>
    <n v="18.78"/>
    <x v="145"/>
    <x v="145"/>
  </r>
  <r>
    <x v="8"/>
    <x v="3"/>
    <x v="2"/>
    <x v="5"/>
    <x v="136"/>
    <x v="3"/>
    <n v="189000"/>
    <n v="55.36"/>
    <x v="146"/>
    <x v="146"/>
  </r>
  <r>
    <x v="8"/>
    <x v="1"/>
    <x v="4"/>
    <x v="4"/>
    <x v="137"/>
    <x v="2"/>
    <n v="102000"/>
    <n v="53.75"/>
    <x v="147"/>
    <x v="147"/>
  </r>
  <r>
    <x v="0"/>
    <x v="2"/>
    <x v="6"/>
    <x v="5"/>
    <x v="138"/>
    <x v="0"/>
    <n v="93000"/>
    <n v="21.73"/>
    <x v="148"/>
    <x v="148"/>
  </r>
  <r>
    <x v="3"/>
    <x v="3"/>
    <x v="9"/>
    <x v="0"/>
    <x v="139"/>
    <x v="4"/>
    <n v="54000"/>
    <n v="66.81"/>
    <x v="149"/>
    <x v="149"/>
  </r>
  <r>
    <x v="6"/>
    <x v="1"/>
    <x v="4"/>
    <x v="1"/>
    <x v="140"/>
    <x v="3"/>
    <n v="192000"/>
    <n v="30.82"/>
    <x v="150"/>
    <x v="150"/>
  </r>
  <r>
    <x v="1"/>
    <x v="4"/>
    <x v="8"/>
    <x v="1"/>
    <x v="141"/>
    <x v="4"/>
    <n v="57000"/>
    <n v="16.53"/>
    <x v="151"/>
    <x v="151"/>
  </r>
  <r>
    <x v="8"/>
    <x v="3"/>
    <x v="4"/>
    <x v="5"/>
    <x v="32"/>
    <x v="2"/>
    <n v="96000"/>
    <n v="32.700000000000003"/>
    <x v="152"/>
    <x v="152"/>
  </r>
  <r>
    <x v="6"/>
    <x v="3"/>
    <x v="1"/>
    <x v="0"/>
    <x v="142"/>
    <x v="3"/>
    <n v="72000"/>
    <n v="22.18"/>
    <x v="153"/>
    <x v="153"/>
  </r>
  <r>
    <x v="6"/>
    <x v="2"/>
    <x v="4"/>
    <x v="3"/>
    <x v="143"/>
    <x v="4"/>
    <n v="49000"/>
    <n v="65.510000000000005"/>
    <x v="154"/>
    <x v="154"/>
  </r>
  <r>
    <x v="6"/>
    <x v="3"/>
    <x v="8"/>
    <x v="4"/>
    <x v="144"/>
    <x v="3"/>
    <n v="156000"/>
    <n v="12.17"/>
    <x v="155"/>
    <x v="155"/>
  </r>
  <r>
    <x v="3"/>
    <x v="2"/>
    <x v="0"/>
    <x v="1"/>
    <x v="145"/>
    <x v="1"/>
    <n v="20000"/>
    <n v="45.34"/>
    <x v="156"/>
    <x v="156"/>
  </r>
  <r>
    <x v="7"/>
    <x v="2"/>
    <x v="0"/>
    <x v="0"/>
    <x v="146"/>
    <x v="4"/>
    <n v="38000"/>
    <n v="52.34"/>
    <x v="157"/>
    <x v="157"/>
  </r>
  <r>
    <x v="8"/>
    <x v="3"/>
    <x v="7"/>
    <x v="4"/>
    <x v="147"/>
    <x v="3"/>
    <n v="150000"/>
    <n v="65"/>
    <x v="158"/>
    <x v="158"/>
  </r>
  <r>
    <x v="8"/>
    <x v="0"/>
    <x v="0"/>
    <x v="2"/>
    <x v="148"/>
    <x v="2"/>
    <n v="88000"/>
    <n v="12.33"/>
    <x v="159"/>
    <x v="159"/>
  </r>
  <r>
    <x v="9"/>
    <x v="4"/>
    <x v="7"/>
    <x v="5"/>
    <x v="149"/>
    <x v="3"/>
    <n v="129000"/>
    <n v="62.9"/>
    <x v="160"/>
    <x v="160"/>
  </r>
  <r>
    <x v="9"/>
    <x v="4"/>
    <x v="0"/>
    <x v="2"/>
    <x v="150"/>
    <x v="4"/>
    <n v="55000"/>
    <n v="62.85"/>
    <x v="161"/>
    <x v="161"/>
  </r>
  <r>
    <x v="9"/>
    <x v="3"/>
    <x v="9"/>
    <x v="2"/>
    <x v="151"/>
    <x v="4"/>
    <n v="67000"/>
    <n v="10.79"/>
    <x v="162"/>
    <x v="162"/>
  </r>
  <r>
    <x v="8"/>
    <x v="2"/>
    <x v="4"/>
    <x v="2"/>
    <x v="152"/>
    <x v="4"/>
    <n v="53000"/>
    <n v="62.45"/>
    <x v="163"/>
    <x v="163"/>
  </r>
  <r>
    <x v="1"/>
    <x v="2"/>
    <x v="9"/>
    <x v="3"/>
    <x v="153"/>
    <x v="4"/>
    <n v="39000"/>
    <n v="47.26"/>
    <x v="164"/>
    <x v="164"/>
  </r>
  <r>
    <x v="4"/>
    <x v="2"/>
    <x v="8"/>
    <x v="1"/>
    <x v="154"/>
    <x v="1"/>
    <n v="13000"/>
    <n v="61.3"/>
    <x v="165"/>
    <x v="165"/>
  </r>
  <r>
    <x v="8"/>
    <x v="1"/>
    <x v="2"/>
    <x v="4"/>
    <x v="155"/>
    <x v="3"/>
    <n v="72000"/>
    <n v="30.89"/>
    <x v="166"/>
    <x v="166"/>
  </r>
  <r>
    <x v="0"/>
    <x v="0"/>
    <x v="2"/>
    <x v="3"/>
    <x v="74"/>
    <x v="2"/>
    <n v="42000"/>
    <n v="53.33"/>
    <x v="167"/>
    <x v="167"/>
  </r>
  <r>
    <x v="1"/>
    <x v="2"/>
    <x v="8"/>
    <x v="3"/>
    <x v="156"/>
    <x v="2"/>
    <n v="98000"/>
    <n v="50.74"/>
    <x v="168"/>
    <x v="168"/>
  </r>
  <r>
    <x v="6"/>
    <x v="0"/>
    <x v="4"/>
    <x v="3"/>
    <x v="157"/>
    <x v="4"/>
    <n v="30000"/>
    <n v="42.34"/>
    <x v="169"/>
    <x v="169"/>
  </r>
  <r>
    <x v="5"/>
    <x v="1"/>
    <x v="8"/>
    <x v="2"/>
    <x v="158"/>
    <x v="1"/>
    <n v="33500"/>
    <n v="30.88"/>
    <x v="170"/>
    <x v="170"/>
  </r>
  <r>
    <x v="0"/>
    <x v="1"/>
    <x v="3"/>
    <x v="5"/>
    <x v="159"/>
    <x v="3"/>
    <n v="141000"/>
    <n v="17.920000000000002"/>
    <x v="171"/>
    <x v="171"/>
  </r>
  <r>
    <x v="1"/>
    <x v="4"/>
    <x v="1"/>
    <x v="3"/>
    <x v="160"/>
    <x v="1"/>
    <n v="17500"/>
    <n v="22.28"/>
    <x v="172"/>
    <x v="172"/>
  </r>
  <r>
    <x v="2"/>
    <x v="1"/>
    <x v="2"/>
    <x v="4"/>
    <x v="161"/>
    <x v="0"/>
    <n v="42000"/>
    <n v="29.3"/>
    <x v="173"/>
    <x v="173"/>
  </r>
  <r>
    <x v="7"/>
    <x v="1"/>
    <x v="6"/>
    <x v="3"/>
    <x v="162"/>
    <x v="4"/>
    <n v="39000"/>
    <n v="43.94"/>
    <x v="174"/>
    <x v="174"/>
  </r>
  <r>
    <x v="9"/>
    <x v="2"/>
    <x v="6"/>
    <x v="2"/>
    <x v="67"/>
    <x v="3"/>
    <n v="63000"/>
    <n v="62.23"/>
    <x v="175"/>
    <x v="175"/>
  </r>
  <r>
    <x v="2"/>
    <x v="4"/>
    <x v="9"/>
    <x v="3"/>
    <x v="163"/>
    <x v="0"/>
    <n v="43500"/>
    <n v="55.66"/>
    <x v="176"/>
    <x v="176"/>
  </r>
  <r>
    <x v="3"/>
    <x v="0"/>
    <x v="6"/>
    <x v="5"/>
    <x v="164"/>
    <x v="4"/>
    <n v="64000"/>
    <n v="25.24"/>
    <x v="177"/>
    <x v="177"/>
  </r>
  <r>
    <x v="1"/>
    <x v="0"/>
    <x v="5"/>
    <x v="3"/>
    <x v="165"/>
    <x v="3"/>
    <n v="174000"/>
    <n v="10.67"/>
    <x v="178"/>
    <x v="178"/>
  </r>
  <r>
    <x v="7"/>
    <x v="0"/>
    <x v="6"/>
    <x v="1"/>
    <x v="166"/>
    <x v="3"/>
    <n v="111000"/>
    <n v="57.56"/>
    <x v="179"/>
    <x v="179"/>
  </r>
  <r>
    <x v="6"/>
    <x v="1"/>
    <x v="2"/>
    <x v="2"/>
    <x v="167"/>
    <x v="2"/>
    <n v="132000"/>
    <n v="50.57"/>
    <x v="180"/>
    <x v="180"/>
  </r>
  <r>
    <x v="3"/>
    <x v="1"/>
    <x v="2"/>
    <x v="3"/>
    <x v="168"/>
    <x v="4"/>
    <n v="22000"/>
    <n v="40.75"/>
    <x v="181"/>
    <x v="181"/>
  </r>
  <r>
    <x v="6"/>
    <x v="0"/>
    <x v="7"/>
    <x v="5"/>
    <x v="169"/>
    <x v="2"/>
    <n v="54000"/>
    <n v="26.14"/>
    <x v="182"/>
    <x v="182"/>
  </r>
  <r>
    <x v="3"/>
    <x v="3"/>
    <x v="1"/>
    <x v="5"/>
    <x v="170"/>
    <x v="3"/>
    <n v="87000"/>
    <n v="68.73"/>
    <x v="183"/>
    <x v="183"/>
  </r>
  <r>
    <x v="2"/>
    <x v="3"/>
    <x v="7"/>
    <x v="4"/>
    <x v="171"/>
    <x v="4"/>
    <n v="65000"/>
    <n v="19.48"/>
    <x v="184"/>
    <x v="184"/>
  </r>
  <r>
    <x v="0"/>
    <x v="3"/>
    <x v="4"/>
    <x v="2"/>
    <x v="172"/>
    <x v="4"/>
    <n v="32000"/>
    <n v="58.13"/>
    <x v="185"/>
    <x v="185"/>
  </r>
  <r>
    <x v="2"/>
    <x v="2"/>
    <x v="5"/>
    <x v="3"/>
    <x v="173"/>
    <x v="3"/>
    <n v="114000"/>
    <n v="30.49"/>
    <x v="186"/>
    <x v="186"/>
  </r>
  <r>
    <x v="0"/>
    <x v="3"/>
    <x v="7"/>
    <x v="1"/>
    <x v="174"/>
    <x v="2"/>
    <n v="80000"/>
    <n v="49.9"/>
    <x v="187"/>
    <x v="187"/>
  </r>
  <r>
    <x v="2"/>
    <x v="3"/>
    <x v="4"/>
    <x v="4"/>
    <x v="175"/>
    <x v="1"/>
    <n v="9000"/>
    <n v="18.600000000000001"/>
    <x v="188"/>
    <x v="188"/>
  </r>
  <r>
    <x v="6"/>
    <x v="4"/>
    <x v="1"/>
    <x v="1"/>
    <x v="176"/>
    <x v="2"/>
    <n v="42000"/>
    <n v="32.19"/>
    <x v="189"/>
    <x v="189"/>
  </r>
  <r>
    <x v="7"/>
    <x v="0"/>
    <x v="8"/>
    <x v="4"/>
    <x v="177"/>
    <x v="0"/>
    <n v="72000"/>
    <n v="39.18"/>
    <x v="190"/>
    <x v="190"/>
  </r>
  <r>
    <x v="8"/>
    <x v="3"/>
    <x v="0"/>
    <x v="4"/>
    <x v="178"/>
    <x v="4"/>
    <n v="43000"/>
    <n v="63.33"/>
    <x v="191"/>
    <x v="191"/>
  </r>
  <r>
    <x v="1"/>
    <x v="2"/>
    <x v="5"/>
    <x v="0"/>
    <x v="179"/>
    <x v="3"/>
    <n v="93000"/>
    <n v="11.38"/>
    <x v="192"/>
    <x v="192"/>
  </r>
  <r>
    <x v="2"/>
    <x v="0"/>
    <x v="5"/>
    <x v="1"/>
    <x v="180"/>
    <x v="1"/>
    <n v="23000"/>
    <n v="30.66"/>
    <x v="193"/>
    <x v="193"/>
  </r>
  <r>
    <x v="7"/>
    <x v="0"/>
    <x v="0"/>
    <x v="2"/>
    <x v="181"/>
    <x v="4"/>
    <n v="43000"/>
    <n v="53.56"/>
    <x v="194"/>
    <x v="194"/>
  </r>
  <r>
    <x v="6"/>
    <x v="0"/>
    <x v="1"/>
    <x v="4"/>
    <x v="182"/>
    <x v="4"/>
    <n v="38000"/>
    <n v="49.02"/>
    <x v="195"/>
    <x v="195"/>
  </r>
  <r>
    <x v="5"/>
    <x v="4"/>
    <x v="9"/>
    <x v="4"/>
    <x v="183"/>
    <x v="4"/>
    <n v="59000"/>
    <n v="11.48"/>
    <x v="196"/>
    <x v="196"/>
  </r>
  <r>
    <x v="3"/>
    <x v="1"/>
    <x v="3"/>
    <x v="3"/>
    <x v="184"/>
    <x v="0"/>
    <n v="76500"/>
    <n v="42.91"/>
    <x v="197"/>
    <x v="197"/>
  </r>
  <r>
    <x v="8"/>
    <x v="2"/>
    <x v="7"/>
    <x v="0"/>
    <x v="185"/>
    <x v="1"/>
    <n v="13000"/>
    <n v="49.24"/>
    <x v="198"/>
    <x v="198"/>
  </r>
  <r>
    <x v="2"/>
    <x v="3"/>
    <x v="0"/>
    <x v="3"/>
    <x v="186"/>
    <x v="4"/>
    <n v="56000"/>
    <n v="32.31"/>
    <x v="199"/>
    <x v="199"/>
  </r>
  <r>
    <x v="7"/>
    <x v="4"/>
    <x v="1"/>
    <x v="4"/>
    <x v="187"/>
    <x v="4"/>
    <n v="63000"/>
    <n v="59.73"/>
    <x v="200"/>
    <x v="200"/>
  </r>
  <r>
    <x v="8"/>
    <x v="2"/>
    <x v="1"/>
    <x v="5"/>
    <x v="188"/>
    <x v="2"/>
    <n v="134000"/>
    <n v="66.77"/>
    <x v="201"/>
    <x v="201"/>
  </r>
  <r>
    <x v="0"/>
    <x v="1"/>
    <x v="2"/>
    <x v="0"/>
    <x v="189"/>
    <x v="3"/>
    <n v="117000"/>
    <n v="44.42"/>
    <x v="202"/>
    <x v="202"/>
  </r>
  <r>
    <x v="3"/>
    <x v="0"/>
    <x v="7"/>
    <x v="2"/>
    <x v="190"/>
    <x v="0"/>
    <n v="87000"/>
    <n v="62.62"/>
    <x v="203"/>
    <x v="203"/>
  </r>
  <r>
    <x v="5"/>
    <x v="1"/>
    <x v="3"/>
    <x v="0"/>
    <x v="191"/>
    <x v="2"/>
    <n v="52000"/>
    <n v="38.020000000000003"/>
    <x v="204"/>
    <x v="204"/>
  </r>
  <r>
    <x v="4"/>
    <x v="4"/>
    <x v="2"/>
    <x v="1"/>
    <x v="192"/>
    <x v="3"/>
    <n v="198000"/>
    <n v="52.39"/>
    <x v="205"/>
    <x v="205"/>
  </r>
  <r>
    <x v="4"/>
    <x v="2"/>
    <x v="9"/>
    <x v="1"/>
    <x v="193"/>
    <x v="3"/>
    <n v="180000"/>
    <n v="41.31"/>
    <x v="206"/>
    <x v="206"/>
  </r>
  <r>
    <x v="4"/>
    <x v="0"/>
    <x v="1"/>
    <x v="3"/>
    <x v="194"/>
    <x v="2"/>
    <n v="78000"/>
    <n v="64.27"/>
    <x v="207"/>
    <x v="207"/>
  </r>
  <r>
    <x v="7"/>
    <x v="0"/>
    <x v="3"/>
    <x v="4"/>
    <x v="195"/>
    <x v="0"/>
    <n v="45000"/>
    <n v="14.27"/>
    <x v="208"/>
    <x v="208"/>
  </r>
  <r>
    <x v="9"/>
    <x v="4"/>
    <x v="7"/>
    <x v="3"/>
    <x v="196"/>
    <x v="4"/>
    <n v="64000"/>
    <n v="59.83"/>
    <x v="209"/>
    <x v="209"/>
  </r>
  <r>
    <x v="0"/>
    <x v="0"/>
    <x v="5"/>
    <x v="0"/>
    <x v="197"/>
    <x v="4"/>
    <n v="31000"/>
    <n v="40.64"/>
    <x v="210"/>
    <x v="210"/>
  </r>
  <r>
    <x v="3"/>
    <x v="3"/>
    <x v="5"/>
    <x v="2"/>
    <x v="198"/>
    <x v="2"/>
    <n v="122000"/>
    <n v="55.62"/>
    <x v="211"/>
    <x v="211"/>
  </r>
  <r>
    <x v="0"/>
    <x v="3"/>
    <x v="0"/>
    <x v="2"/>
    <x v="199"/>
    <x v="1"/>
    <n v="14000"/>
    <n v="32.14"/>
    <x v="212"/>
    <x v="212"/>
  </r>
  <r>
    <x v="2"/>
    <x v="3"/>
    <x v="2"/>
    <x v="0"/>
    <x v="200"/>
    <x v="0"/>
    <n v="82500"/>
    <n v="65.98"/>
    <x v="213"/>
    <x v="213"/>
  </r>
  <r>
    <x v="6"/>
    <x v="1"/>
    <x v="3"/>
    <x v="0"/>
    <x v="201"/>
    <x v="3"/>
    <n v="165000"/>
    <n v="50.01"/>
    <x v="214"/>
    <x v="214"/>
  </r>
  <r>
    <x v="3"/>
    <x v="1"/>
    <x v="3"/>
    <x v="3"/>
    <x v="202"/>
    <x v="4"/>
    <n v="21000"/>
    <n v="10.65"/>
    <x v="215"/>
    <x v="215"/>
  </r>
  <r>
    <x v="9"/>
    <x v="0"/>
    <x v="5"/>
    <x v="5"/>
    <x v="203"/>
    <x v="3"/>
    <n v="159000"/>
    <n v="21.79"/>
    <x v="216"/>
    <x v="216"/>
  </r>
  <r>
    <x v="6"/>
    <x v="3"/>
    <x v="5"/>
    <x v="5"/>
    <x v="204"/>
    <x v="1"/>
    <n v="29500"/>
    <n v="53.63"/>
    <x v="217"/>
    <x v="217"/>
  </r>
  <r>
    <x v="7"/>
    <x v="1"/>
    <x v="1"/>
    <x v="4"/>
    <x v="205"/>
    <x v="2"/>
    <n v="130000"/>
    <n v="16.87"/>
    <x v="218"/>
    <x v="218"/>
  </r>
  <r>
    <x v="0"/>
    <x v="2"/>
    <x v="6"/>
    <x v="1"/>
    <x v="206"/>
    <x v="0"/>
    <n v="93000"/>
    <n v="24.17"/>
    <x v="219"/>
    <x v="219"/>
  </r>
  <r>
    <x v="6"/>
    <x v="0"/>
    <x v="7"/>
    <x v="0"/>
    <x v="207"/>
    <x v="4"/>
    <n v="32000"/>
    <n v="55.56"/>
    <x v="220"/>
    <x v="220"/>
  </r>
  <r>
    <x v="8"/>
    <x v="0"/>
    <x v="4"/>
    <x v="5"/>
    <x v="208"/>
    <x v="1"/>
    <n v="27000"/>
    <n v="42.29"/>
    <x v="221"/>
    <x v="221"/>
  </r>
  <r>
    <x v="6"/>
    <x v="2"/>
    <x v="5"/>
    <x v="5"/>
    <x v="209"/>
    <x v="3"/>
    <n v="147000"/>
    <n v="54.21"/>
    <x v="222"/>
    <x v="222"/>
  </r>
  <r>
    <x v="0"/>
    <x v="0"/>
    <x v="4"/>
    <x v="4"/>
    <x v="210"/>
    <x v="0"/>
    <n v="33000"/>
    <n v="58.91"/>
    <x v="223"/>
    <x v="223"/>
  </r>
  <r>
    <x v="1"/>
    <x v="0"/>
    <x v="6"/>
    <x v="3"/>
    <x v="139"/>
    <x v="0"/>
    <n v="81000"/>
    <n v="45.93"/>
    <x v="224"/>
    <x v="224"/>
  </r>
  <r>
    <x v="5"/>
    <x v="4"/>
    <x v="9"/>
    <x v="2"/>
    <x v="211"/>
    <x v="4"/>
    <n v="38000"/>
    <n v="57.48"/>
    <x v="225"/>
    <x v="225"/>
  </r>
  <r>
    <x v="8"/>
    <x v="4"/>
    <x v="5"/>
    <x v="4"/>
    <x v="212"/>
    <x v="4"/>
    <n v="63000"/>
    <n v="35.08"/>
    <x v="226"/>
    <x v="226"/>
  </r>
  <r>
    <x v="4"/>
    <x v="4"/>
    <x v="0"/>
    <x v="3"/>
    <x v="213"/>
    <x v="3"/>
    <n v="144000"/>
    <n v="12.91"/>
    <x v="227"/>
    <x v="227"/>
  </r>
  <r>
    <x v="5"/>
    <x v="4"/>
    <x v="7"/>
    <x v="5"/>
    <x v="214"/>
    <x v="3"/>
    <n v="102000"/>
    <n v="37.99"/>
    <x v="228"/>
    <x v="228"/>
  </r>
  <r>
    <x v="3"/>
    <x v="0"/>
    <x v="9"/>
    <x v="4"/>
    <x v="215"/>
    <x v="3"/>
    <n v="135000"/>
    <n v="42.78"/>
    <x v="229"/>
    <x v="229"/>
  </r>
  <r>
    <x v="8"/>
    <x v="1"/>
    <x v="9"/>
    <x v="4"/>
    <x v="216"/>
    <x v="4"/>
    <n v="60000"/>
    <n v="19.940000000000001"/>
    <x v="230"/>
    <x v="230"/>
  </r>
  <r>
    <x v="8"/>
    <x v="4"/>
    <x v="8"/>
    <x v="3"/>
    <x v="217"/>
    <x v="4"/>
    <n v="53000"/>
    <n v="49.36"/>
    <x v="231"/>
    <x v="231"/>
  </r>
  <r>
    <x v="8"/>
    <x v="3"/>
    <x v="7"/>
    <x v="5"/>
    <x v="218"/>
    <x v="0"/>
    <n v="61500"/>
    <n v="48.43"/>
    <x v="232"/>
    <x v="232"/>
  </r>
  <r>
    <x v="8"/>
    <x v="3"/>
    <x v="5"/>
    <x v="5"/>
    <x v="219"/>
    <x v="0"/>
    <n v="60000"/>
    <n v="17.89"/>
    <x v="233"/>
    <x v="233"/>
  </r>
  <r>
    <x v="1"/>
    <x v="4"/>
    <x v="5"/>
    <x v="0"/>
    <x v="220"/>
    <x v="4"/>
    <n v="44000"/>
    <n v="54.22"/>
    <x v="234"/>
    <x v="234"/>
  </r>
  <r>
    <x v="8"/>
    <x v="4"/>
    <x v="7"/>
    <x v="1"/>
    <x v="221"/>
    <x v="3"/>
    <n v="129000"/>
    <n v="23.12"/>
    <x v="235"/>
    <x v="235"/>
  </r>
  <r>
    <x v="3"/>
    <x v="1"/>
    <x v="7"/>
    <x v="1"/>
    <x v="222"/>
    <x v="2"/>
    <n v="96000"/>
    <n v="43.35"/>
    <x v="236"/>
    <x v="236"/>
  </r>
  <r>
    <x v="2"/>
    <x v="2"/>
    <x v="2"/>
    <x v="2"/>
    <x v="223"/>
    <x v="1"/>
    <n v="20000"/>
    <n v="35.36"/>
    <x v="237"/>
    <x v="237"/>
  </r>
  <r>
    <x v="6"/>
    <x v="3"/>
    <x v="2"/>
    <x v="0"/>
    <x v="224"/>
    <x v="0"/>
    <n v="73500"/>
    <n v="60.7"/>
    <x v="238"/>
    <x v="238"/>
  </r>
  <r>
    <x v="5"/>
    <x v="2"/>
    <x v="8"/>
    <x v="0"/>
    <x v="225"/>
    <x v="0"/>
    <n v="66000"/>
    <n v="44.12"/>
    <x v="239"/>
    <x v="239"/>
  </r>
  <r>
    <x v="7"/>
    <x v="3"/>
    <x v="2"/>
    <x v="0"/>
    <x v="182"/>
    <x v="3"/>
    <n v="114000"/>
    <n v="53.61"/>
    <x v="240"/>
    <x v="240"/>
  </r>
  <r>
    <x v="1"/>
    <x v="4"/>
    <x v="6"/>
    <x v="4"/>
    <x v="226"/>
    <x v="3"/>
    <n v="81000"/>
    <n v="38.71"/>
    <x v="241"/>
    <x v="241"/>
  </r>
  <r>
    <x v="5"/>
    <x v="3"/>
    <x v="7"/>
    <x v="1"/>
    <x v="227"/>
    <x v="4"/>
    <n v="19000"/>
    <n v="23.82"/>
    <x v="242"/>
    <x v="242"/>
  </r>
  <r>
    <x v="5"/>
    <x v="3"/>
    <x v="4"/>
    <x v="5"/>
    <x v="228"/>
    <x v="2"/>
    <n v="88000"/>
    <n v="65.09"/>
    <x v="243"/>
    <x v="243"/>
  </r>
  <r>
    <x v="7"/>
    <x v="2"/>
    <x v="3"/>
    <x v="0"/>
    <x v="229"/>
    <x v="4"/>
    <n v="57000"/>
    <n v="41.15"/>
    <x v="244"/>
    <x v="244"/>
  </r>
  <r>
    <x v="7"/>
    <x v="2"/>
    <x v="5"/>
    <x v="3"/>
    <x v="182"/>
    <x v="2"/>
    <n v="76000"/>
    <n v="46.7"/>
    <x v="245"/>
    <x v="245"/>
  </r>
  <r>
    <x v="2"/>
    <x v="3"/>
    <x v="5"/>
    <x v="1"/>
    <x v="230"/>
    <x v="4"/>
    <n v="28000"/>
    <n v="44.8"/>
    <x v="246"/>
    <x v="246"/>
  </r>
  <r>
    <x v="0"/>
    <x v="2"/>
    <x v="2"/>
    <x v="1"/>
    <x v="231"/>
    <x v="2"/>
    <n v="52000"/>
    <n v="35.799999999999997"/>
    <x v="247"/>
    <x v="247"/>
  </r>
  <r>
    <x v="5"/>
    <x v="1"/>
    <x v="4"/>
    <x v="3"/>
    <x v="232"/>
    <x v="1"/>
    <n v="17000"/>
    <n v="38.03"/>
    <x v="248"/>
    <x v="248"/>
  </r>
  <r>
    <x v="8"/>
    <x v="2"/>
    <x v="4"/>
    <x v="0"/>
    <x v="233"/>
    <x v="3"/>
    <n v="117000"/>
    <n v="35.200000000000003"/>
    <x v="249"/>
    <x v="249"/>
  </r>
  <r>
    <x v="7"/>
    <x v="3"/>
    <x v="5"/>
    <x v="0"/>
    <x v="234"/>
    <x v="4"/>
    <n v="67000"/>
    <n v="63.1"/>
    <x v="250"/>
    <x v="250"/>
  </r>
  <r>
    <x v="2"/>
    <x v="4"/>
    <x v="0"/>
    <x v="5"/>
    <x v="57"/>
    <x v="1"/>
    <n v="17500"/>
    <n v="66.3"/>
    <x v="251"/>
    <x v="251"/>
  </r>
  <r>
    <x v="2"/>
    <x v="3"/>
    <x v="0"/>
    <x v="0"/>
    <x v="235"/>
    <x v="1"/>
    <n v="18000"/>
    <n v="41.65"/>
    <x v="252"/>
    <x v="252"/>
  </r>
  <r>
    <x v="9"/>
    <x v="2"/>
    <x v="9"/>
    <x v="0"/>
    <x v="136"/>
    <x v="0"/>
    <n v="94500"/>
    <n v="59.42"/>
    <x v="253"/>
    <x v="253"/>
  </r>
  <r>
    <x v="6"/>
    <x v="1"/>
    <x v="7"/>
    <x v="0"/>
    <x v="236"/>
    <x v="4"/>
    <n v="29000"/>
    <n v="10.37"/>
    <x v="254"/>
    <x v="254"/>
  </r>
  <r>
    <x v="1"/>
    <x v="3"/>
    <x v="0"/>
    <x v="5"/>
    <x v="237"/>
    <x v="0"/>
    <n v="55500"/>
    <n v="37.58"/>
    <x v="255"/>
    <x v="255"/>
  </r>
  <r>
    <x v="2"/>
    <x v="0"/>
    <x v="1"/>
    <x v="0"/>
    <x v="238"/>
    <x v="2"/>
    <n v="60000"/>
    <n v="13.69"/>
    <x v="256"/>
    <x v="256"/>
  </r>
  <r>
    <x v="3"/>
    <x v="1"/>
    <x v="3"/>
    <x v="1"/>
    <x v="156"/>
    <x v="2"/>
    <n v="98000"/>
    <n v="65.91"/>
    <x v="257"/>
    <x v="257"/>
  </r>
  <r>
    <x v="1"/>
    <x v="1"/>
    <x v="0"/>
    <x v="1"/>
    <x v="239"/>
    <x v="0"/>
    <n v="58500"/>
    <n v="38.659999999999997"/>
    <x v="258"/>
    <x v="258"/>
  </r>
  <r>
    <x v="0"/>
    <x v="1"/>
    <x v="4"/>
    <x v="1"/>
    <x v="240"/>
    <x v="1"/>
    <n v="15000"/>
    <n v="58.9"/>
    <x v="259"/>
    <x v="259"/>
  </r>
  <r>
    <x v="7"/>
    <x v="0"/>
    <x v="0"/>
    <x v="3"/>
    <x v="85"/>
    <x v="2"/>
    <n v="64000"/>
    <n v="22.16"/>
    <x v="260"/>
    <x v="260"/>
  </r>
  <r>
    <x v="4"/>
    <x v="0"/>
    <x v="9"/>
    <x v="5"/>
    <x v="241"/>
    <x v="2"/>
    <n v="50000"/>
    <n v="45.25"/>
    <x v="261"/>
    <x v="261"/>
  </r>
  <r>
    <x v="5"/>
    <x v="3"/>
    <x v="5"/>
    <x v="5"/>
    <x v="242"/>
    <x v="0"/>
    <n v="55500"/>
    <n v="42.95"/>
    <x v="262"/>
    <x v="262"/>
  </r>
  <r>
    <x v="7"/>
    <x v="3"/>
    <x v="1"/>
    <x v="5"/>
    <x v="242"/>
    <x v="0"/>
    <n v="55500"/>
    <n v="59.9"/>
    <x v="263"/>
    <x v="263"/>
  </r>
  <r>
    <x v="4"/>
    <x v="0"/>
    <x v="0"/>
    <x v="4"/>
    <x v="243"/>
    <x v="1"/>
    <n v="27000"/>
    <n v="41.51"/>
    <x v="264"/>
    <x v="264"/>
  </r>
  <r>
    <x v="9"/>
    <x v="4"/>
    <x v="8"/>
    <x v="2"/>
    <x v="244"/>
    <x v="1"/>
    <n v="27500"/>
    <n v="10.54"/>
    <x v="265"/>
    <x v="265"/>
  </r>
  <r>
    <x v="1"/>
    <x v="1"/>
    <x v="0"/>
    <x v="1"/>
    <x v="245"/>
    <x v="3"/>
    <n v="201000"/>
    <n v="11.05"/>
    <x v="266"/>
    <x v="266"/>
  </r>
  <r>
    <x v="1"/>
    <x v="2"/>
    <x v="2"/>
    <x v="4"/>
    <x v="178"/>
    <x v="3"/>
    <n v="129000"/>
    <n v="52.66"/>
    <x v="267"/>
    <x v="267"/>
  </r>
  <r>
    <x v="3"/>
    <x v="3"/>
    <x v="1"/>
    <x v="4"/>
    <x v="246"/>
    <x v="3"/>
    <n v="168000"/>
    <n v="50.11"/>
    <x v="268"/>
    <x v="268"/>
  </r>
  <r>
    <x v="5"/>
    <x v="0"/>
    <x v="6"/>
    <x v="3"/>
    <x v="247"/>
    <x v="3"/>
    <n v="114000"/>
    <n v="67.930000000000007"/>
    <x v="269"/>
    <x v="269"/>
  </r>
  <r>
    <x v="7"/>
    <x v="1"/>
    <x v="5"/>
    <x v="4"/>
    <x v="248"/>
    <x v="3"/>
    <n v="159000"/>
    <n v="33.25"/>
    <x v="270"/>
    <x v="270"/>
  </r>
  <r>
    <x v="2"/>
    <x v="0"/>
    <x v="9"/>
    <x v="4"/>
    <x v="249"/>
    <x v="0"/>
    <n v="36000"/>
    <n v="36"/>
    <x v="271"/>
    <x v="271"/>
  </r>
  <r>
    <x v="7"/>
    <x v="4"/>
    <x v="5"/>
    <x v="5"/>
    <x v="250"/>
    <x v="3"/>
    <n v="87000"/>
    <n v="48.86"/>
    <x v="272"/>
    <x v="272"/>
  </r>
  <r>
    <x v="8"/>
    <x v="0"/>
    <x v="0"/>
    <x v="3"/>
    <x v="251"/>
    <x v="1"/>
    <n v="26000"/>
    <n v="64.540000000000006"/>
    <x v="273"/>
    <x v="273"/>
  </r>
  <r>
    <x v="4"/>
    <x v="2"/>
    <x v="2"/>
    <x v="0"/>
    <x v="252"/>
    <x v="0"/>
    <n v="82500"/>
    <n v="35.57"/>
    <x v="274"/>
    <x v="274"/>
  </r>
  <r>
    <x v="9"/>
    <x v="0"/>
    <x v="6"/>
    <x v="3"/>
    <x v="253"/>
    <x v="3"/>
    <n v="66000"/>
    <n v="10.93"/>
    <x v="275"/>
    <x v="275"/>
  </r>
  <r>
    <x v="7"/>
    <x v="0"/>
    <x v="1"/>
    <x v="0"/>
    <x v="254"/>
    <x v="1"/>
    <n v="19500"/>
    <n v="48.76"/>
    <x v="276"/>
    <x v="276"/>
  </r>
  <r>
    <x v="9"/>
    <x v="1"/>
    <x v="2"/>
    <x v="0"/>
    <x v="221"/>
    <x v="0"/>
    <n v="64500"/>
    <n v="44.26"/>
    <x v="277"/>
    <x v="277"/>
  </r>
  <r>
    <x v="2"/>
    <x v="2"/>
    <x v="5"/>
    <x v="0"/>
    <x v="255"/>
    <x v="3"/>
    <n v="66000"/>
    <n v="41.14"/>
    <x v="278"/>
    <x v="278"/>
  </r>
  <r>
    <x v="9"/>
    <x v="0"/>
    <x v="6"/>
    <x v="1"/>
    <x v="256"/>
    <x v="3"/>
    <n v="93000"/>
    <n v="28.08"/>
    <x v="279"/>
    <x v="279"/>
  </r>
  <r>
    <x v="2"/>
    <x v="1"/>
    <x v="8"/>
    <x v="0"/>
    <x v="257"/>
    <x v="4"/>
    <n v="37000"/>
    <n v="54.72"/>
    <x v="280"/>
    <x v="280"/>
  </r>
  <r>
    <x v="4"/>
    <x v="2"/>
    <x v="2"/>
    <x v="2"/>
    <x v="258"/>
    <x v="3"/>
    <n v="57000"/>
    <n v="36.68"/>
    <x v="281"/>
    <x v="281"/>
  </r>
  <r>
    <x v="1"/>
    <x v="4"/>
    <x v="1"/>
    <x v="3"/>
    <x v="259"/>
    <x v="2"/>
    <n v="40000"/>
    <n v="20.05"/>
    <x v="282"/>
    <x v="282"/>
  </r>
  <r>
    <x v="0"/>
    <x v="4"/>
    <x v="7"/>
    <x v="3"/>
    <x v="5"/>
    <x v="0"/>
    <n v="76500"/>
    <n v="47.81"/>
    <x v="283"/>
    <x v="283"/>
  </r>
  <r>
    <x v="0"/>
    <x v="3"/>
    <x v="7"/>
    <x v="5"/>
    <x v="260"/>
    <x v="2"/>
    <n v="110000"/>
    <n v="43.8"/>
    <x v="284"/>
    <x v="284"/>
  </r>
  <r>
    <x v="5"/>
    <x v="2"/>
    <x v="1"/>
    <x v="5"/>
    <x v="49"/>
    <x v="3"/>
    <n v="63000"/>
    <n v="32.65"/>
    <x v="285"/>
    <x v="285"/>
  </r>
  <r>
    <x v="7"/>
    <x v="2"/>
    <x v="2"/>
    <x v="2"/>
    <x v="261"/>
    <x v="3"/>
    <n v="186000"/>
    <n v="30.72"/>
    <x v="286"/>
    <x v="286"/>
  </r>
  <r>
    <x v="5"/>
    <x v="2"/>
    <x v="2"/>
    <x v="1"/>
    <x v="262"/>
    <x v="4"/>
    <n v="65000"/>
    <n v="68.44"/>
    <x v="287"/>
    <x v="287"/>
  </r>
  <r>
    <x v="3"/>
    <x v="3"/>
    <x v="7"/>
    <x v="4"/>
    <x v="263"/>
    <x v="1"/>
    <n v="27000"/>
    <n v="57.53"/>
    <x v="288"/>
    <x v="288"/>
  </r>
  <r>
    <x v="7"/>
    <x v="2"/>
    <x v="9"/>
    <x v="2"/>
    <x v="264"/>
    <x v="1"/>
    <n v="29500"/>
    <n v="57.69"/>
    <x v="289"/>
    <x v="289"/>
  </r>
  <r>
    <x v="5"/>
    <x v="1"/>
    <x v="2"/>
    <x v="1"/>
    <x v="265"/>
    <x v="4"/>
    <n v="64000"/>
    <n v="37.200000000000003"/>
    <x v="290"/>
    <x v="290"/>
  </r>
  <r>
    <x v="7"/>
    <x v="4"/>
    <x v="9"/>
    <x v="2"/>
    <x v="266"/>
    <x v="4"/>
    <n v="46000"/>
    <n v="40.590000000000003"/>
    <x v="291"/>
    <x v="291"/>
  </r>
  <r>
    <x v="4"/>
    <x v="4"/>
    <x v="5"/>
    <x v="5"/>
    <x v="267"/>
    <x v="2"/>
    <n v="134000"/>
    <n v="56.57"/>
    <x v="292"/>
    <x v="292"/>
  </r>
  <r>
    <x v="6"/>
    <x v="1"/>
    <x v="6"/>
    <x v="3"/>
    <x v="116"/>
    <x v="4"/>
    <n v="58000"/>
    <n v="45.74"/>
    <x v="293"/>
    <x v="293"/>
  </r>
  <r>
    <x v="4"/>
    <x v="3"/>
    <x v="1"/>
    <x v="4"/>
    <x v="268"/>
    <x v="1"/>
    <n v="13500"/>
    <n v="39.729999999999997"/>
    <x v="294"/>
    <x v="294"/>
  </r>
  <r>
    <x v="9"/>
    <x v="1"/>
    <x v="8"/>
    <x v="0"/>
    <x v="269"/>
    <x v="1"/>
    <n v="13500"/>
    <n v="11.59"/>
    <x v="295"/>
    <x v="295"/>
  </r>
  <r>
    <x v="1"/>
    <x v="0"/>
    <x v="4"/>
    <x v="4"/>
    <x v="45"/>
    <x v="3"/>
    <n v="75000"/>
    <n v="62.05"/>
    <x v="296"/>
    <x v="296"/>
  </r>
  <r>
    <x v="8"/>
    <x v="0"/>
    <x v="1"/>
    <x v="1"/>
    <x v="270"/>
    <x v="3"/>
    <n v="63000"/>
    <n v="54.96"/>
    <x v="297"/>
    <x v="297"/>
  </r>
  <r>
    <x v="0"/>
    <x v="0"/>
    <x v="8"/>
    <x v="4"/>
    <x v="271"/>
    <x v="3"/>
    <n v="171000"/>
    <n v="62.92"/>
    <x v="298"/>
    <x v="298"/>
  </r>
  <r>
    <x v="5"/>
    <x v="3"/>
    <x v="3"/>
    <x v="5"/>
    <x v="272"/>
    <x v="2"/>
    <n v="122000"/>
    <n v="42.56"/>
    <x v="299"/>
    <x v="299"/>
  </r>
  <r>
    <x v="3"/>
    <x v="0"/>
    <x v="4"/>
    <x v="1"/>
    <x v="273"/>
    <x v="0"/>
    <n v="57000"/>
    <n v="23.23"/>
    <x v="300"/>
    <x v="300"/>
  </r>
  <r>
    <x v="7"/>
    <x v="2"/>
    <x v="6"/>
    <x v="2"/>
    <x v="274"/>
    <x v="2"/>
    <n v="128000"/>
    <n v="44.75"/>
    <x v="301"/>
    <x v="301"/>
  </r>
  <r>
    <x v="4"/>
    <x v="0"/>
    <x v="2"/>
    <x v="4"/>
    <x v="275"/>
    <x v="2"/>
    <n v="136000"/>
    <n v="22.62"/>
    <x v="302"/>
    <x v="302"/>
  </r>
  <r>
    <x v="5"/>
    <x v="3"/>
    <x v="3"/>
    <x v="3"/>
    <x v="276"/>
    <x v="2"/>
    <n v="48000"/>
    <n v="40.35"/>
    <x v="303"/>
    <x v="303"/>
  </r>
  <r>
    <x v="3"/>
    <x v="1"/>
    <x v="8"/>
    <x v="1"/>
    <x v="277"/>
    <x v="4"/>
    <n v="32000"/>
    <n v="42.12"/>
    <x v="304"/>
    <x v="304"/>
  </r>
  <r>
    <x v="7"/>
    <x v="4"/>
    <x v="2"/>
    <x v="2"/>
    <x v="278"/>
    <x v="2"/>
    <n v="112000"/>
    <n v="30.02"/>
    <x v="305"/>
    <x v="305"/>
  </r>
  <r>
    <x v="7"/>
    <x v="2"/>
    <x v="8"/>
    <x v="5"/>
    <x v="279"/>
    <x v="4"/>
    <n v="23000"/>
    <n v="42.15"/>
    <x v="306"/>
    <x v="306"/>
  </r>
  <r>
    <x v="9"/>
    <x v="4"/>
    <x v="0"/>
    <x v="3"/>
    <x v="280"/>
    <x v="0"/>
    <n v="78000"/>
    <n v="53.25"/>
    <x v="307"/>
    <x v="307"/>
  </r>
  <r>
    <x v="6"/>
    <x v="4"/>
    <x v="6"/>
    <x v="4"/>
    <x v="281"/>
    <x v="0"/>
    <n v="27000"/>
    <n v="35.96"/>
    <x v="308"/>
    <x v="308"/>
  </r>
  <r>
    <x v="0"/>
    <x v="1"/>
    <x v="8"/>
    <x v="1"/>
    <x v="282"/>
    <x v="3"/>
    <n v="72000"/>
    <n v="40.950000000000003"/>
    <x v="309"/>
    <x v="309"/>
  </r>
  <r>
    <x v="8"/>
    <x v="1"/>
    <x v="5"/>
    <x v="2"/>
    <x v="283"/>
    <x v="0"/>
    <n v="52500"/>
    <n v="39.799999999999997"/>
    <x v="310"/>
    <x v="310"/>
  </r>
  <r>
    <x v="4"/>
    <x v="2"/>
    <x v="7"/>
    <x v="0"/>
    <x v="284"/>
    <x v="0"/>
    <n v="96000"/>
    <n v="44.47"/>
    <x v="311"/>
    <x v="311"/>
  </r>
  <r>
    <x v="9"/>
    <x v="3"/>
    <x v="4"/>
    <x v="5"/>
    <x v="285"/>
    <x v="2"/>
    <n v="56000"/>
    <n v="15.93"/>
    <x v="312"/>
    <x v="312"/>
  </r>
  <r>
    <x v="0"/>
    <x v="0"/>
    <x v="5"/>
    <x v="0"/>
    <x v="286"/>
    <x v="2"/>
    <n v="68000"/>
    <n v="51.64"/>
    <x v="313"/>
    <x v="313"/>
  </r>
  <r>
    <x v="4"/>
    <x v="3"/>
    <x v="6"/>
    <x v="2"/>
    <x v="287"/>
    <x v="1"/>
    <n v="25000"/>
    <n v="66.260000000000005"/>
    <x v="314"/>
    <x v="314"/>
  </r>
  <r>
    <x v="1"/>
    <x v="1"/>
    <x v="9"/>
    <x v="2"/>
    <x v="288"/>
    <x v="3"/>
    <n v="114000"/>
    <n v="55.79"/>
    <x v="315"/>
    <x v="315"/>
  </r>
  <r>
    <x v="9"/>
    <x v="4"/>
    <x v="5"/>
    <x v="1"/>
    <x v="289"/>
    <x v="4"/>
    <n v="21000"/>
    <n v="11.74"/>
    <x v="316"/>
    <x v="316"/>
  </r>
  <r>
    <x v="3"/>
    <x v="4"/>
    <x v="1"/>
    <x v="4"/>
    <x v="290"/>
    <x v="3"/>
    <n v="72000"/>
    <n v="31.41"/>
    <x v="317"/>
    <x v="317"/>
  </r>
  <r>
    <x v="5"/>
    <x v="4"/>
    <x v="0"/>
    <x v="5"/>
    <x v="291"/>
    <x v="0"/>
    <n v="46500"/>
    <n v="46.28"/>
    <x v="318"/>
    <x v="318"/>
  </r>
  <r>
    <x v="0"/>
    <x v="3"/>
    <x v="6"/>
    <x v="3"/>
    <x v="292"/>
    <x v="0"/>
    <n v="99000"/>
    <n v="38.369999999999997"/>
    <x v="319"/>
    <x v="319"/>
  </r>
  <r>
    <x v="4"/>
    <x v="4"/>
    <x v="0"/>
    <x v="3"/>
    <x v="272"/>
    <x v="1"/>
    <n v="30500"/>
    <n v="39.21"/>
    <x v="320"/>
    <x v="320"/>
  </r>
  <r>
    <x v="3"/>
    <x v="0"/>
    <x v="6"/>
    <x v="2"/>
    <x v="293"/>
    <x v="3"/>
    <n v="195000"/>
    <n v="42.72"/>
    <x v="321"/>
    <x v="321"/>
  </r>
  <r>
    <x v="0"/>
    <x v="3"/>
    <x v="7"/>
    <x v="1"/>
    <x v="264"/>
    <x v="0"/>
    <n v="88500"/>
    <n v="25.45"/>
    <x v="322"/>
    <x v="322"/>
  </r>
  <r>
    <x v="6"/>
    <x v="0"/>
    <x v="5"/>
    <x v="5"/>
    <x v="294"/>
    <x v="2"/>
    <n v="122000"/>
    <n v="43.3"/>
    <x v="323"/>
    <x v="323"/>
  </r>
  <r>
    <x v="6"/>
    <x v="3"/>
    <x v="0"/>
    <x v="3"/>
    <x v="295"/>
    <x v="1"/>
    <n v="29500"/>
    <n v="65.099999999999994"/>
    <x v="324"/>
    <x v="324"/>
  </r>
  <r>
    <x v="7"/>
    <x v="0"/>
    <x v="7"/>
    <x v="3"/>
    <x v="296"/>
    <x v="2"/>
    <n v="112000"/>
    <n v="47.56"/>
    <x v="325"/>
    <x v="325"/>
  </r>
  <r>
    <x v="4"/>
    <x v="3"/>
    <x v="4"/>
    <x v="0"/>
    <x v="297"/>
    <x v="0"/>
    <n v="78000"/>
    <n v="19.28"/>
    <x v="326"/>
    <x v="326"/>
  </r>
  <r>
    <x v="0"/>
    <x v="2"/>
    <x v="9"/>
    <x v="3"/>
    <x v="298"/>
    <x v="3"/>
    <n v="141000"/>
    <n v="41.43"/>
    <x v="327"/>
    <x v="327"/>
  </r>
  <r>
    <x v="0"/>
    <x v="1"/>
    <x v="0"/>
    <x v="1"/>
    <x v="299"/>
    <x v="4"/>
    <n v="37000"/>
    <n v="66.37"/>
    <x v="328"/>
    <x v="328"/>
  </r>
  <r>
    <x v="9"/>
    <x v="3"/>
    <x v="6"/>
    <x v="0"/>
    <x v="300"/>
    <x v="3"/>
    <n v="159000"/>
    <n v="13.14"/>
    <x v="329"/>
    <x v="329"/>
  </r>
  <r>
    <x v="5"/>
    <x v="2"/>
    <x v="3"/>
    <x v="3"/>
    <x v="301"/>
    <x v="3"/>
    <n v="120000"/>
    <n v="69.56"/>
    <x v="330"/>
    <x v="330"/>
  </r>
  <r>
    <x v="8"/>
    <x v="0"/>
    <x v="4"/>
    <x v="3"/>
    <x v="239"/>
    <x v="4"/>
    <n v="39000"/>
    <n v="55.84"/>
    <x v="331"/>
    <x v="331"/>
  </r>
  <r>
    <x v="0"/>
    <x v="2"/>
    <x v="9"/>
    <x v="2"/>
    <x v="88"/>
    <x v="1"/>
    <n v="21000"/>
    <n v="25.33"/>
    <x v="332"/>
    <x v="332"/>
  </r>
  <r>
    <x v="5"/>
    <x v="4"/>
    <x v="5"/>
    <x v="0"/>
    <x v="302"/>
    <x v="4"/>
    <n v="20000"/>
    <n v="12.8"/>
    <x v="333"/>
    <x v="333"/>
  </r>
  <r>
    <x v="4"/>
    <x v="0"/>
    <x v="4"/>
    <x v="4"/>
    <x v="303"/>
    <x v="0"/>
    <n v="48000"/>
    <n v="39.520000000000003"/>
    <x v="334"/>
    <x v="334"/>
  </r>
  <r>
    <x v="1"/>
    <x v="2"/>
    <x v="8"/>
    <x v="1"/>
    <x v="304"/>
    <x v="3"/>
    <n v="96000"/>
    <n v="40.49"/>
    <x v="335"/>
    <x v="335"/>
  </r>
  <r>
    <x v="9"/>
    <x v="1"/>
    <x v="5"/>
    <x v="3"/>
    <x v="305"/>
    <x v="4"/>
    <n v="41000"/>
    <n v="65.02"/>
    <x v="336"/>
    <x v="336"/>
  </r>
  <r>
    <x v="0"/>
    <x v="1"/>
    <x v="8"/>
    <x v="5"/>
    <x v="306"/>
    <x v="3"/>
    <n v="117000"/>
    <n v="33.06"/>
    <x v="337"/>
    <x v="337"/>
  </r>
  <r>
    <x v="4"/>
    <x v="3"/>
    <x v="3"/>
    <x v="5"/>
    <x v="32"/>
    <x v="2"/>
    <n v="96000"/>
    <n v="41.34"/>
    <x v="338"/>
    <x v="338"/>
  </r>
  <r>
    <x v="4"/>
    <x v="2"/>
    <x v="5"/>
    <x v="4"/>
    <x v="47"/>
    <x v="2"/>
    <n v="44000"/>
    <n v="39.520000000000003"/>
    <x v="339"/>
    <x v="339"/>
  </r>
  <r>
    <x v="6"/>
    <x v="3"/>
    <x v="2"/>
    <x v="4"/>
    <x v="92"/>
    <x v="3"/>
    <n v="108000"/>
    <n v="22.58"/>
    <x v="340"/>
    <x v="340"/>
  </r>
  <r>
    <x v="5"/>
    <x v="4"/>
    <x v="3"/>
    <x v="4"/>
    <x v="307"/>
    <x v="2"/>
    <n v="46000"/>
    <n v="42.75"/>
    <x v="341"/>
    <x v="341"/>
  </r>
  <r>
    <x v="5"/>
    <x v="1"/>
    <x v="4"/>
    <x v="5"/>
    <x v="308"/>
    <x v="1"/>
    <n v="31000"/>
    <n v="40.07"/>
    <x v="342"/>
    <x v="342"/>
  </r>
  <r>
    <x v="2"/>
    <x v="2"/>
    <x v="7"/>
    <x v="2"/>
    <x v="309"/>
    <x v="2"/>
    <n v="94000"/>
    <n v="67.34"/>
    <x v="343"/>
    <x v="343"/>
  </r>
  <r>
    <x v="0"/>
    <x v="4"/>
    <x v="3"/>
    <x v="1"/>
    <x v="310"/>
    <x v="0"/>
    <n v="66000"/>
    <n v="18.190000000000001"/>
    <x v="344"/>
    <x v="344"/>
  </r>
  <r>
    <x v="4"/>
    <x v="0"/>
    <x v="7"/>
    <x v="1"/>
    <x v="311"/>
    <x v="1"/>
    <n v="19500"/>
    <n v="35.340000000000003"/>
    <x v="345"/>
    <x v="345"/>
  </r>
  <r>
    <x v="6"/>
    <x v="4"/>
    <x v="1"/>
    <x v="2"/>
    <x v="312"/>
    <x v="1"/>
    <n v="34000"/>
    <n v="29.15"/>
    <x v="346"/>
    <x v="346"/>
  </r>
  <r>
    <x v="4"/>
    <x v="2"/>
    <x v="2"/>
    <x v="0"/>
    <x v="313"/>
    <x v="2"/>
    <n v="112000"/>
    <n v="12.46"/>
    <x v="347"/>
    <x v="347"/>
  </r>
  <r>
    <x v="2"/>
    <x v="1"/>
    <x v="6"/>
    <x v="1"/>
    <x v="314"/>
    <x v="3"/>
    <n v="66000"/>
    <n v="50.88"/>
    <x v="348"/>
    <x v="348"/>
  </r>
  <r>
    <x v="5"/>
    <x v="0"/>
    <x v="2"/>
    <x v="1"/>
    <x v="315"/>
    <x v="4"/>
    <n v="31000"/>
    <n v="33.229999999999997"/>
    <x v="349"/>
    <x v="349"/>
  </r>
  <r>
    <x v="4"/>
    <x v="2"/>
    <x v="4"/>
    <x v="2"/>
    <x v="316"/>
    <x v="1"/>
    <n v="28000"/>
    <n v="15.74"/>
    <x v="350"/>
    <x v="350"/>
  </r>
  <r>
    <x v="8"/>
    <x v="4"/>
    <x v="4"/>
    <x v="0"/>
    <x v="317"/>
    <x v="0"/>
    <n v="73500"/>
    <n v="57.25"/>
    <x v="351"/>
    <x v="351"/>
  </r>
  <r>
    <x v="1"/>
    <x v="0"/>
    <x v="7"/>
    <x v="1"/>
    <x v="318"/>
    <x v="1"/>
    <n v="24500"/>
    <n v="45.56"/>
    <x v="352"/>
    <x v="352"/>
  </r>
  <r>
    <x v="4"/>
    <x v="1"/>
    <x v="8"/>
    <x v="1"/>
    <x v="319"/>
    <x v="3"/>
    <n v="72000"/>
    <n v="52.05"/>
    <x v="353"/>
    <x v="353"/>
  </r>
  <r>
    <x v="7"/>
    <x v="0"/>
    <x v="5"/>
    <x v="1"/>
    <x v="320"/>
    <x v="3"/>
    <n v="54000"/>
    <n v="15.81"/>
    <x v="354"/>
    <x v="354"/>
  </r>
  <r>
    <x v="6"/>
    <x v="1"/>
    <x v="1"/>
    <x v="4"/>
    <x v="321"/>
    <x v="2"/>
    <n v="96000"/>
    <n v="22.75"/>
    <x v="355"/>
    <x v="355"/>
  </r>
  <r>
    <x v="2"/>
    <x v="3"/>
    <x v="7"/>
    <x v="0"/>
    <x v="223"/>
    <x v="4"/>
    <n v="40000"/>
    <n v="20.41"/>
    <x v="356"/>
    <x v="356"/>
  </r>
  <r>
    <x v="5"/>
    <x v="0"/>
    <x v="3"/>
    <x v="4"/>
    <x v="322"/>
    <x v="1"/>
    <n v="9500"/>
    <n v="17.09"/>
    <x v="357"/>
    <x v="357"/>
  </r>
  <r>
    <x v="9"/>
    <x v="3"/>
    <x v="7"/>
    <x v="0"/>
    <x v="323"/>
    <x v="3"/>
    <n v="72000"/>
    <n v="45.91"/>
    <x v="358"/>
    <x v="358"/>
  </r>
  <r>
    <x v="8"/>
    <x v="3"/>
    <x v="2"/>
    <x v="3"/>
    <x v="324"/>
    <x v="1"/>
    <n v="15500"/>
    <n v="24.34"/>
    <x v="359"/>
    <x v="359"/>
  </r>
  <r>
    <x v="5"/>
    <x v="4"/>
    <x v="4"/>
    <x v="4"/>
    <x v="325"/>
    <x v="0"/>
    <n v="73500"/>
    <n v="31.16"/>
    <x v="360"/>
    <x v="360"/>
  </r>
  <r>
    <x v="6"/>
    <x v="4"/>
    <x v="7"/>
    <x v="5"/>
    <x v="326"/>
    <x v="4"/>
    <n v="36000"/>
    <n v="57.7"/>
    <x v="361"/>
    <x v="361"/>
  </r>
  <r>
    <x v="2"/>
    <x v="1"/>
    <x v="5"/>
    <x v="0"/>
    <x v="327"/>
    <x v="1"/>
    <n v="27500"/>
    <n v="51.59"/>
    <x v="362"/>
    <x v="362"/>
  </r>
  <r>
    <x v="2"/>
    <x v="1"/>
    <x v="1"/>
    <x v="1"/>
    <x v="328"/>
    <x v="3"/>
    <n v="129000"/>
    <n v="17.850000000000001"/>
    <x v="363"/>
    <x v="363"/>
  </r>
  <r>
    <x v="2"/>
    <x v="1"/>
    <x v="7"/>
    <x v="0"/>
    <x v="329"/>
    <x v="1"/>
    <n v="17000"/>
    <n v="27.69"/>
    <x v="364"/>
    <x v="364"/>
  </r>
  <r>
    <x v="3"/>
    <x v="1"/>
    <x v="7"/>
    <x v="2"/>
    <x v="330"/>
    <x v="3"/>
    <n v="132000"/>
    <n v="38.93"/>
    <x v="365"/>
    <x v="365"/>
  </r>
  <r>
    <x v="3"/>
    <x v="4"/>
    <x v="7"/>
    <x v="1"/>
    <x v="194"/>
    <x v="0"/>
    <n v="58500"/>
    <n v="31.13"/>
    <x v="366"/>
    <x v="366"/>
  </r>
  <r>
    <x v="6"/>
    <x v="1"/>
    <x v="9"/>
    <x v="2"/>
    <x v="331"/>
    <x v="3"/>
    <n v="135000"/>
    <n v="58.45"/>
    <x v="367"/>
    <x v="367"/>
  </r>
  <r>
    <x v="6"/>
    <x v="0"/>
    <x v="5"/>
    <x v="2"/>
    <x v="332"/>
    <x v="0"/>
    <n v="39000"/>
    <n v="11.38"/>
    <x v="368"/>
    <x v="368"/>
  </r>
  <r>
    <x v="9"/>
    <x v="2"/>
    <x v="8"/>
    <x v="5"/>
    <x v="333"/>
    <x v="0"/>
    <n v="87000"/>
    <n v="11.61"/>
    <x v="369"/>
    <x v="369"/>
  </r>
  <r>
    <x v="1"/>
    <x v="2"/>
    <x v="6"/>
    <x v="1"/>
    <x v="334"/>
    <x v="4"/>
    <n v="61000"/>
    <n v="31.56"/>
    <x v="370"/>
    <x v="370"/>
  </r>
  <r>
    <x v="3"/>
    <x v="0"/>
    <x v="6"/>
    <x v="1"/>
    <x v="335"/>
    <x v="4"/>
    <n v="63000"/>
    <n v="49.04"/>
    <x v="371"/>
    <x v="371"/>
  </r>
  <r>
    <x v="5"/>
    <x v="3"/>
    <x v="0"/>
    <x v="0"/>
    <x v="336"/>
    <x v="3"/>
    <n v="168000"/>
    <n v="33.25"/>
    <x v="372"/>
    <x v="372"/>
  </r>
  <r>
    <x v="4"/>
    <x v="0"/>
    <x v="2"/>
    <x v="4"/>
    <x v="337"/>
    <x v="0"/>
    <n v="45000"/>
    <n v="38.76"/>
    <x v="373"/>
    <x v="373"/>
  </r>
  <r>
    <x v="5"/>
    <x v="1"/>
    <x v="0"/>
    <x v="3"/>
    <x v="338"/>
    <x v="4"/>
    <n v="45000"/>
    <n v="58.06"/>
    <x v="374"/>
    <x v="374"/>
  </r>
  <r>
    <x v="3"/>
    <x v="1"/>
    <x v="8"/>
    <x v="1"/>
    <x v="339"/>
    <x v="0"/>
    <n v="31500"/>
    <n v="58.6"/>
    <x v="375"/>
    <x v="375"/>
  </r>
  <r>
    <x v="5"/>
    <x v="4"/>
    <x v="1"/>
    <x v="1"/>
    <x v="116"/>
    <x v="0"/>
    <n v="87000"/>
    <n v="33.24"/>
    <x v="376"/>
    <x v="376"/>
  </r>
  <r>
    <x v="9"/>
    <x v="0"/>
    <x v="7"/>
    <x v="5"/>
    <x v="340"/>
    <x v="3"/>
    <n v="138000"/>
    <n v="31.71"/>
    <x v="377"/>
    <x v="377"/>
  </r>
  <r>
    <x v="9"/>
    <x v="1"/>
    <x v="0"/>
    <x v="1"/>
    <x v="341"/>
    <x v="4"/>
    <n v="61000"/>
    <n v="56.02"/>
    <x v="378"/>
    <x v="378"/>
  </r>
  <r>
    <x v="6"/>
    <x v="2"/>
    <x v="0"/>
    <x v="1"/>
    <x v="342"/>
    <x v="3"/>
    <n v="81000"/>
    <n v="15.93"/>
    <x v="379"/>
    <x v="379"/>
  </r>
  <r>
    <x v="3"/>
    <x v="4"/>
    <x v="8"/>
    <x v="3"/>
    <x v="343"/>
    <x v="3"/>
    <n v="156000"/>
    <n v="18.62"/>
    <x v="380"/>
    <x v="380"/>
  </r>
  <r>
    <x v="2"/>
    <x v="2"/>
    <x v="5"/>
    <x v="4"/>
    <x v="289"/>
    <x v="3"/>
    <n v="63000"/>
    <n v="18.46"/>
    <x v="381"/>
    <x v="381"/>
  </r>
  <r>
    <x v="7"/>
    <x v="3"/>
    <x v="5"/>
    <x v="4"/>
    <x v="344"/>
    <x v="1"/>
    <n v="30000"/>
    <n v="19.62"/>
    <x v="382"/>
    <x v="382"/>
  </r>
  <r>
    <x v="8"/>
    <x v="1"/>
    <x v="7"/>
    <x v="1"/>
    <x v="345"/>
    <x v="1"/>
    <n v="33500"/>
    <n v="36.69"/>
    <x v="383"/>
    <x v="383"/>
  </r>
  <r>
    <x v="8"/>
    <x v="2"/>
    <x v="3"/>
    <x v="0"/>
    <x v="346"/>
    <x v="0"/>
    <n v="91500"/>
    <n v="40.89"/>
    <x v="384"/>
    <x v="384"/>
  </r>
  <r>
    <x v="6"/>
    <x v="4"/>
    <x v="0"/>
    <x v="1"/>
    <x v="85"/>
    <x v="0"/>
    <n v="48000"/>
    <n v="34.32"/>
    <x v="385"/>
    <x v="385"/>
  </r>
  <r>
    <x v="7"/>
    <x v="1"/>
    <x v="5"/>
    <x v="3"/>
    <x v="55"/>
    <x v="3"/>
    <n v="99000"/>
    <n v="35.32"/>
    <x v="386"/>
    <x v="386"/>
  </r>
  <r>
    <x v="3"/>
    <x v="3"/>
    <x v="2"/>
    <x v="0"/>
    <x v="65"/>
    <x v="4"/>
    <n v="32000"/>
    <n v="26.7"/>
    <x v="387"/>
    <x v="387"/>
  </r>
  <r>
    <x v="8"/>
    <x v="2"/>
    <x v="3"/>
    <x v="0"/>
    <x v="347"/>
    <x v="4"/>
    <n v="66000"/>
    <n v="47.52"/>
    <x v="388"/>
    <x v="388"/>
  </r>
  <r>
    <x v="5"/>
    <x v="2"/>
    <x v="2"/>
    <x v="0"/>
    <x v="348"/>
    <x v="3"/>
    <n v="165000"/>
    <n v="30.54"/>
    <x v="389"/>
    <x v="389"/>
  </r>
  <r>
    <x v="2"/>
    <x v="4"/>
    <x v="8"/>
    <x v="0"/>
    <x v="349"/>
    <x v="2"/>
    <n v="100000"/>
    <n v="24.46"/>
    <x v="390"/>
    <x v="390"/>
  </r>
  <r>
    <x v="0"/>
    <x v="0"/>
    <x v="7"/>
    <x v="2"/>
    <x v="350"/>
    <x v="3"/>
    <n v="162000"/>
    <n v="26.06"/>
    <x v="391"/>
    <x v="391"/>
  </r>
  <r>
    <x v="3"/>
    <x v="4"/>
    <x v="0"/>
    <x v="3"/>
    <x v="351"/>
    <x v="3"/>
    <n v="90000"/>
    <n v="41.64"/>
    <x v="392"/>
    <x v="392"/>
  </r>
  <r>
    <x v="5"/>
    <x v="0"/>
    <x v="1"/>
    <x v="2"/>
    <x v="352"/>
    <x v="4"/>
    <n v="29000"/>
    <n v="18.399999999999999"/>
    <x v="393"/>
    <x v="393"/>
  </r>
  <r>
    <x v="2"/>
    <x v="3"/>
    <x v="0"/>
    <x v="3"/>
    <x v="348"/>
    <x v="4"/>
    <n v="55000"/>
    <n v="42.81"/>
    <x v="394"/>
    <x v="394"/>
  </r>
  <r>
    <x v="3"/>
    <x v="0"/>
    <x v="9"/>
    <x v="1"/>
    <x v="353"/>
    <x v="0"/>
    <n v="58500"/>
    <n v="33.049999999999997"/>
    <x v="395"/>
    <x v="395"/>
  </r>
  <r>
    <x v="1"/>
    <x v="2"/>
    <x v="1"/>
    <x v="4"/>
    <x v="354"/>
    <x v="1"/>
    <n v="11500"/>
    <n v="26.94"/>
    <x v="396"/>
    <x v="396"/>
  </r>
  <r>
    <x v="8"/>
    <x v="4"/>
    <x v="7"/>
    <x v="5"/>
    <x v="355"/>
    <x v="0"/>
    <n v="42000"/>
    <n v="16.55"/>
    <x v="397"/>
    <x v="397"/>
  </r>
  <r>
    <x v="9"/>
    <x v="0"/>
    <x v="1"/>
    <x v="0"/>
    <x v="62"/>
    <x v="4"/>
    <n v="26000"/>
    <n v="23.3"/>
    <x v="398"/>
    <x v="398"/>
  </r>
  <r>
    <x v="3"/>
    <x v="4"/>
    <x v="6"/>
    <x v="2"/>
    <x v="356"/>
    <x v="4"/>
    <n v="21000"/>
    <n v="69.790000000000006"/>
    <x v="399"/>
    <x v="399"/>
  </r>
  <r>
    <x v="3"/>
    <x v="3"/>
    <x v="8"/>
    <x v="5"/>
    <x v="357"/>
    <x v="2"/>
    <n v="70000"/>
    <n v="12.66"/>
    <x v="400"/>
    <x v="400"/>
  </r>
  <r>
    <x v="6"/>
    <x v="2"/>
    <x v="6"/>
    <x v="0"/>
    <x v="358"/>
    <x v="0"/>
    <n v="70500"/>
    <n v="16.53"/>
    <x v="401"/>
    <x v="401"/>
  </r>
  <r>
    <x v="9"/>
    <x v="4"/>
    <x v="1"/>
    <x v="2"/>
    <x v="359"/>
    <x v="0"/>
    <n v="61500"/>
    <n v="38.44"/>
    <x v="402"/>
    <x v="402"/>
  </r>
  <r>
    <x v="2"/>
    <x v="2"/>
    <x v="6"/>
    <x v="4"/>
    <x v="297"/>
    <x v="0"/>
    <n v="78000"/>
    <n v="36.049999999999997"/>
    <x v="403"/>
    <x v="403"/>
  </r>
  <r>
    <x v="2"/>
    <x v="1"/>
    <x v="0"/>
    <x v="1"/>
    <x v="360"/>
    <x v="2"/>
    <n v="50000"/>
    <n v="31.07"/>
    <x v="404"/>
    <x v="404"/>
  </r>
  <r>
    <x v="2"/>
    <x v="3"/>
    <x v="5"/>
    <x v="1"/>
    <x v="361"/>
    <x v="3"/>
    <n v="93000"/>
    <n v="42.59"/>
    <x v="405"/>
    <x v="405"/>
  </r>
  <r>
    <x v="6"/>
    <x v="4"/>
    <x v="1"/>
    <x v="3"/>
    <x v="278"/>
    <x v="4"/>
    <n v="56000"/>
    <n v="59.06"/>
    <x v="406"/>
    <x v="406"/>
  </r>
  <r>
    <x v="0"/>
    <x v="4"/>
    <x v="7"/>
    <x v="5"/>
    <x v="362"/>
    <x v="4"/>
    <n v="46000"/>
    <n v="61.8"/>
    <x v="407"/>
    <x v="407"/>
  </r>
  <r>
    <x v="1"/>
    <x v="1"/>
    <x v="8"/>
    <x v="0"/>
    <x v="363"/>
    <x v="2"/>
    <n v="84000"/>
    <n v="66.459999999999994"/>
    <x v="408"/>
    <x v="408"/>
  </r>
  <r>
    <x v="4"/>
    <x v="2"/>
    <x v="8"/>
    <x v="0"/>
    <x v="364"/>
    <x v="0"/>
    <n v="87000"/>
    <n v="38.29"/>
    <x v="409"/>
    <x v="409"/>
  </r>
  <r>
    <x v="6"/>
    <x v="1"/>
    <x v="0"/>
    <x v="5"/>
    <x v="119"/>
    <x v="3"/>
    <n v="105000"/>
    <n v="21.7"/>
    <x v="410"/>
    <x v="410"/>
  </r>
  <r>
    <x v="1"/>
    <x v="2"/>
    <x v="8"/>
    <x v="0"/>
    <x v="365"/>
    <x v="4"/>
    <n v="54000"/>
    <n v="24.9"/>
    <x v="411"/>
    <x v="411"/>
  </r>
  <r>
    <x v="7"/>
    <x v="4"/>
    <x v="8"/>
    <x v="5"/>
    <x v="366"/>
    <x v="1"/>
    <n v="10000"/>
    <n v="29.61"/>
    <x v="412"/>
    <x v="412"/>
  </r>
  <r>
    <x v="2"/>
    <x v="0"/>
    <x v="3"/>
    <x v="2"/>
    <x v="367"/>
    <x v="3"/>
    <n v="141000"/>
    <n v="65.25"/>
    <x v="413"/>
    <x v="413"/>
  </r>
  <r>
    <x v="9"/>
    <x v="0"/>
    <x v="5"/>
    <x v="2"/>
    <x v="368"/>
    <x v="1"/>
    <n v="19500"/>
    <n v="52.67"/>
    <x v="414"/>
    <x v="414"/>
  </r>
  <r>
    <x v="4"/>
    <x v="1"/>
    <x v="5"/>
    <x v="3"/>
    <x v="369"/>
    <x v="4"/>
    <n v="49000"/>
    <n v="39.07"/>
    <x v="415"/>
    <x v="415"/>
  </r>
  <r>
    <x v="2"/>
    <x v="0"/>
    <x v="0"/>
    <x v="4"/>
    <x v="370"/>
    <x v="4"/>
    <n v="29000"/>
    <n v="22.33"/>
    <x v="416"/>
    <x v="416"/>
  </r>
  <r>
    <x v="2"/>
    <x v="3"/>
    <x v="9"/>
    <x v="5"/>
    <x v="371"/>
    <x v="2"/>
    <n v="78000"/>
    <n v="33.19"/>
    <x v="417"/>
    <x v="417"/>
  </r>
  <r>
    <x v="0"/>
    <x v="3"/>
    <x v="9"/>
    <x v="2"/>
    <x v="372"/>
    <x v="3"/>
    <n v="102000"/>
    <n v="17.510000000000002"/>
    <x v="418"/>
    <x v="418"/>
  </r>
  <r>
    <x v="4"/>
    <x v="2"/>
    <x v="4"/>
    <x v="4"/>
    <x v="373"/>
    <x v="2"/>
    <n v="38000"/>
    <n v="32.07"/>
    <x v="419"/>
    <x v="419"/>
  </r>
  <r>
    <x v="0"/>
    <x v="1"/>
    <x v="8"/>
    <x v="1"/>
    <x v="280"/>
    <x v="2"/>
    <n v="104000"/>
    <n v="52.76"/>
    <x v="420"/>
    <x v="420"/>
  </r>
  <r>
    <x v="6"/>
    <x v="3"/>
    <x v="2"/>
    <x v="4"/>
    <x v="374"/>
    <x v="3"/>
    <n v="54000"/>
    <n v="30.25"/>
    <x v="421"/>
    <x v="421"/>
  </r>
  <r>
    <x v="2"/>
    <x v="4"/>
    <x v="8"/>
    <x v="5"/>
    <x v="375"/>
    <x v="3"/>
    <n v="120000"/>
    <n v="14.17"/>
    <x v="422"/>
    <x v="422"/>
  </r>
  <r>
    <x v="9"/>
    <x v="4"/>
    <x v="7"/>
    <x v="5"/>
    <x v="376"/>
    <x v="2"/>
    <n v="112000"/>
    <n v="50.92"/>
    <x v="423"/>
    <x v="423"/>
  </r>
  <r>
    <x v="1"/>
    <x v="2"/>
    <x v="3"/>
    <x v="3"/>
    <x v="131"/>
    <x v="1"/>
    <n v="27000"/>
    <n v="30.76"/>
    <x v="424"/>
    <x v="424"/>
  </r>
  <r>
    <x v="7"/>
    <x v="1"/>
    <x v="2"/>
    <x v="2"/>
    <x v="377"/>
    <x v="2"/>
    <n v="38000"/>
    <n v="16.059999999999999"/>
    <x v="425"/>
    <x v="425"/>
  </r>
  <r>
    <x v="2"/>
    <x v="3"/>
    <x v="3"/>
    <x v="2"/>
    <x v="378"/>
    <x v="4"/>
    <n v="23000"/>
    <n v="41.55"/>
    <x v="426"/>
    <x v="426"/>
  </r>
  <r>
    <x v="3"/>
    <x v="1"/>
    <x v="9"/>
    <x v="3"/>
    <x v="379"/>
    <x v="1"/>
    <n v="18500"/>
    <n v="33.36"/>
    <x v="427"/>
    <x v="427"/>
  </r>
  <r>
    <x v="6"/>
    <x v="0"/>
    <x v="2"/>
    <x v="5"/>
    <x v="380"/>
    <x v="1"/>
    <n v="24500"/>
    <n v="37.28"/>
    <x v="428"/>
    <x v="428"/>
  </r>
  <r>
    <x v="6"/>
    <x v="3"/>
    <x v="3"/>
    <x v="4"/>
    <x v="16"/>
    <x v="3"/>
    <n v="138000"/>
    <n v="13.45"/>
    <x v="429"/>
    <x v="429"/>
  </r>
  <r>
    <x v="7"/>
    <x v="2"/>
    <x v="4"/>
    <x v="1"/>
    <x v="381"/>
    <x v="4"/>
    <n v="57000"/>
    <n v="15.29"/>
    <x v="430"/>
    <x v="430"/>
  </r>
  <r>
    <x v="1"/>
    <x v="0"/>
    <x v="2"/>
    <x v="2"/>
    <x v="382"/>
    <x v="0"/>
    <n v="49500"/>
    <n v="54.72"/>
    <x v="431"/>
    <x v="431"/>
  </r>
  <r>
    <x v="5"/>
    <x v="1"/>
    <x v="0"/>
    <x v="4"/>
    <x v="383"/>
    <x v="1"/>
    <n v="21000"/>
    <n v="48.87"/>
    <x v="432"/>
    <x v="432"/>
  </r>
  <r>
    <x v="1"/>
    <x v="1"/>
    <x v="5"/>
    <x v="5"/>
    <x v="384"/>
    <x v="3"/>
    <n v="144000"/>
    <n v="19.05"/>
    <x v="433"/>
    <x v="433"/>
  </r>
  <r>
    <x v="0"/>
    <x v="3"/>
    <x v="7"/>
    <x v="3"/>
    <x v="385"/>
    <x v="3"/>
    <n v="129000"/>
    <n v="40.03"/>
    <x v="434"/>
    <x v="434"/>
  </r>
  <r>
    <x v="0"/>
    <x v="2"/>
    <x v="3"/>
    <x v="5"/>
    <x v="386"/>
    <x v="0"/>
    <n v="78000"/>
    <n v="58.13"/>
    <x v="435"/>
    <x v="435"/>
  </r>
  <r>
    <x v="7"/>
    <x v="0"/>
    <x v="5"/>
    <x v="5"/>
    <x v="387"/>
    <x v="0"/>
    <n v="61500"/>
    <n v="67.81"/>
    <x v="436"/>
    <x v="436"/>
  </r>
  <r>
    <x v="5"/>
    <x v="3"/>
    <x v="5"/>
    <x v="1"/>
    <x v="388"/>
    <x v="2"/>
    <n v="56000"/>
    <n v="63.7"/>
    <x v="437"/>
    <x v="437"/>
  </r>
  <r>
    <x v="4"/>
    <x v="2"/>
    <x v="6"/>
    <x v="4"/>
    <x v="389"/>
    <x v="0"/>
    <n v="100500"/>
    <n v="45.28"/>
    <x v="438"/>
    <x v="438"/>
  </r>
  <r>
    <x v="1"/>
    <x v="3"/>
    <x v="1"/>
    <x v="0"/>
    <x v="390"/>
    <x v="0"/>
    <n v="97500"/>
    <n v="46.75"/>
    <x v="439"/>
    <x v="439"/>
  </r>
  <r>
    <x v="1"/>
    <x v="0"/>
    <x v="4"/>
    <x v="1"/>
    <x v="391"/>
    <x v="4"/>
    <n v="46000"/>
    <n v="44.44"/>
    <x v="440"/>
    <x v="440"/>
  </r>
  <r>
    <x v="2"/>
    <x v="4"/>
    <x v="4"/>
    <x v="1"/>
    <x v="392"/>
    <x v="1"/>
    <n v="13000"/>
    <n v="27.39"/>
    <x v="441"/>
    <x v="441"/>
  </r>
  <r>
    <x v="9"/>
    <x v="3"/>
    <x v="3"/>
    <x v="5"/>
    <x v="393"/>
    <x v="2"/>
    <n v="60000"/>
    <n v="15.51"/>
    <x v="442"/>
    <x v="442"/>
  </r>
  <r>
    <x v="0"/>
    <x v="2"/>
    <x v="9"/>
    <x v="2"/>
    <x v="394"/>
    <x v="0"/>
    <n v="85500"/>
    <n v="48.66"/>
    <x v="443"/>
    <x v="443"/>
  </r>
  <r>
    <x v="0"/>
    <x v="2"/>
    <x v="4"/>
    <x v="1"/>
    <x v="395"/>
    <x v="4"/>
    <n v="38000"/>
    <n v="27.18"/>
    <x v="444"/>
    <x v="444"/>
  </r>
  <r>
    <x v="8"/>
    <x v="4"/>
    <x v="8"/>
    <x v="3"/>
    <x v="259"/>
    <x v="0"/>
    <n v="30000"/>
    <n v="69.599999999999994"/>
    <x v="445"/>
    <x v="445"/>
  </r>
  <r>
    <x v="4"/>
    <x v="0"/>
    <x v="7"/>
    <x v="4"/>
    <x v="396"/>
    <x v="0"/>
    <n v="66000"/>
    <n v="43.23"/>
    <x v="446"/>
    <x v="446"/>
  </r>
  <r>
    <x v="8"/>
    <x v="0"/>
    <x v="9"/>
    <x v="4"/>
    <x v="397"/>
    <x v="1"/>
    <n v="16500"/>
    <n v="43.34"/>
    <x v="447"/>
    <x v="447"/>
  </r>
  <r>
    <x v="6"/>
    <x v="4"/>
    <x v="3"/>
    <x v="2"/>
    <x v="398"/>
    <x v="4"/>
    <n v="53000"/>
    <n v="11.85"/>
    <x v="448"/>
    <x v="448"/>
  </r>
  <r>
    <x v="1"/>
    <x v="1"/>
    <x v="3"/>
    <x v="2"/>
    <x v="205"/>
    <x v="2"/>
    <n v="130000"/>
    <n v="67.349999999999994"/>
    <x v="449"/>
    <x v="449"/>
  </r>
  <r>
    <x v="3"/>
    <x v="3"/>
    <x v="7"/>
    <x v="4"/>
    <x v="246"/>
    <x v="1"/>
    <n v="28000"/>
    <n v="22.76"/>
    <x v="450"/>
    <x v="450"/>
  </r>
  <r>
    <x v="1"/>
    <x v="3"/>
    <x v="7"/>
    <x v="1"/>
    <x v="399"/>
    <x v="3"/>
    <n v="93000"/>
    <n v="66.33"/>
    <x v="451"/>
    <x v="451"/>
  </r>
  <r>
    <x v="3"/>
    <x v="2"/>
    <x v="1"/>
    <x v="2"/>
    <x v="400"/>
    <x v="1"/>
    <n v="31000"/>
    <n v="25.43"/>
    <x v="452"/>
    <x v="452"/>
  </r>
  <r>
    <x v="0"/>
    <x v="1"/>
    <x v="5"/>
    <x v="0"/>
    <x v="401"/>
    <x v="4"/>
    <n v="37000"/>
    <n v="41.05"/>
    <x v="453"/>
    <x v="453"/>
  </r>
  <r>
    <x v="6"/>
    <x v="3"/>
    <x v="9"/>
    <x v="3"/>
    <x v="402"/>
    <x v="2"/>
    <n v="102000"/>
    <n v="55.5"/>
    <x v="454"/>
    <x v="454"/>
  </r>
  <r>
    <x v="1"/>
    <x v="1"/>
    <x v="5"/>
    <x v="3"/>
    <x v="403"/>
    <x v="0"/>
    <n v="63000"/>
    <n v="64.290000000000006"/>
    <x v="455"/>
    <x v="455"/>
  </r>
  <r>
    <x v="3"/>
    <x v="2"/>
    <x v="0"/>
    <x v="2"/>
    <x v="86"/>
    <x v="0"/>
    <n v="75000"/>
    <n v="56.69"/>
    <x v="456"/>
    <x v="456"/>
  </r>
  <r>
    <x v="7"/>
    <x v="2"/>
    <x v="1"/>
    <x v="4"/>
    <x v="404"/>
    <x v="1"/>
    <n v="14500"/>
    <n v="44.92"/>
    <x v="457"/>
    <x v="457"/>
  </r>
  <r>
    <x v="5"/>
    <x v="2"/>
    <x v="9"/>
    <x v="4"/>
    <x v="405"/>
    <x v="0"/>
    <n v="58500"/>
    <n v="20.39"/>
    <x v="458"/>
    <x v="458"/>
  </r>
  <r>
    <x v="3"/>
    <x v="0"/>
    <x v="0"/>
    <x v="5"/>
    <x v="406"/>
    <x v="3"/>
    <n v="54000"/>
    <n v="47.05"/>
    <x v="459"/>
    <x v="459"/>
  </r>
  <r>
    <x v="1"/>
    <x v="3"/>
    <x v="7"/>
    <x v="3"/>
    <x v="407"/>
    <x v="2"/>
    <n v="48000"/>
    <n v="48.33"/>
    <x v="460"/>
    <x v="460"/>
  </r>
  <r>
    <x v="5"/>
    <x v="0"/>
    <x v="2"/>
    <x v="2"/>
    <x v="408"/>
    <x v="0"/>
    <n v="94500"/>
    <n v="31.05"/>
    <x v="461"/>
    <x v="461"/>
  </r>
  <r>
    <x v="8"/>
    <x v="1"/>
    <x v="0"/>
    <x v="0"/>
    <x v="409"/>
    <x v="1"/>
    <n v="14000"/>
    <n v="40.229999999999997"/>
    <x v="462"/>
    <x v="462"/>
  </r>
  <r>
    <x v="9"/>
    <x v="1"/>
    <x v="3"/>
    <x v="2"/>
    <x v="410"/>
    <x v="1"/>
    <n v="22000"/>
    <n v="69.260000000000005"/>
    <x v="463"/>
    <x v="463"/>
  </r>
  <r>
    <x v="0"/>
    <x v="3"/>
    <x v="6"/>
    <x v="4"/>
    <x v="4"/>
    <x v="3"/>
    <n v="162000"/>
    <n v="45.47"/>
    <x v="464"/>
    <x v="464"/>
  </r>
  <r>
    <x v="2"/>
    <x v="2"/>
    <x v="8"/>
    <x v="3"/>
    <x v="411"/>
    <x v="3"/>
    <n v="81000"/>
    <n v="17.510000000000002"/>
    <x v="465"/>
    <x v="465"/>
  </r>
  <r>
    <x v="0"/>
    <x v="4"/>
    <x v="2"/>
    <x v="5"/>
    <x v="412"/>
    <x v="1"/>
    <n v="32500"/>
    <n v="42.5"/>
    <x v="466"/>
    <x v="466"/>
  </r>
  <r>
    <x v="1"/>
    <x v="3"/>
    <x v="8"/>
    <x v="4"/>
    <x v="413"/>
    <x v="3"/>
    <n v="165000"/>
    <n v="58.26"/>
    <x v="467"/>
    <x v="467"/>
  </r>
  <r>
    <x v="8"/>
    <x v="1"/>
    <x v="0"/>
    <x v="4"/>
    <x v="414"/>
    <x v="0"/>
    <n v="88500"/>
    <n v="25.62"/>
    <x v="468"/>
    <x v="468"/>
  </r>
  <r>
    <x v="5"/>
    <x v="3"/>
    <x v="1"/>
    <x v="5"/>
    <x v="415"/>
    <x v="4"/>
    <n v="44000"/>
    <n v="38.42"/>
    <x v="469"/>
    <x v="469"/>
  </r>
  <r>
    <x v="2"/>
    <x v="3"/>
    <x v="6"/>
    <x v="4"/>
    <x v="265"/>
    <x v="2"/>
    <n v="128000"/>
    <n v="30.7"/>
    <x v="470"/>
    <x v="470"/>
  </r>
  <r>
    <x v="8"/>
    <x v="2"/>
    <x v="4"/>
    <x v="1"/>
    <x v="416"/>
    <x v="0"/>
    <n v="70500"/>
    <n v="65.92"/>
    <x v="471"/>
    <x v="471"/>
  </r>
  <r>
    <x v="6"/>
    <x v="3"/>
    <x v="8"/>
    <x v="5"/>
    <x v="12"/>
    <x v="0"/>
    <n v="93000"/>
    <n v="48.96"/>
    <x v="472"/>
    <x v="472"/>
  </r>
  <r>
    <x v="7"/>
    <x v="2"/>
    <x v="6"/>
    <x v="2"/>
    <x v="417"/>
    <x v="3"/>
    <n v="168000"/>
    <n v="51.67"/>
    <x v="473"/>
    <x v="473"/>
  </r>
  <r>
    <x v="7"/>
    <x v="0"/>
    <x v="4"/>
    <x v="5"/>
    <x v="418"/>
    <x v="4"/>
    <n v="63000"/>
    <n v="31.2"/>
    <x v="474"/>
    <x v="474"/>
  </r>
  <r>
    <x v="3"/>
    <x v="1"/>
    <x v="9"/>
    <x v="1"/>
    <x v="419"/>
    <x v="3"/>
    <n v="150000"/>
    <n v="57.35"/>
    <x v="475"/>
    <x v="475"/>
  </r>
  <r>
    <x v="8"/>
    <x v="1"/>
    <x v="1"/>
    <x v="5"/>
    <x v="420"/>
    <x v="1"/>
    <n v="14500"/>
    <n v="39.9"/>
    <x v="476"/>
    <x v="476"/>
  </r>
  <r>
    <x v="5"/>
    <x v="4"/>
    <x v="1"/>
    <x v="1"/>
    <x v="421"/>
    <x v="0"/>
    <n v="64500"/>
    <n v="25.68"/>
    <x v="477"/>
    <x v="477"/>
  </r>
  <r>
    <x v="0"/>
    <x v="1"/>
    <x v="1"/>
    <x v="1"/>
    <x v="422"/>
    <x v="2"/>
    <n v="96000"/>
    <n v="23.83"/>
    <x v="478"/>
    <x v="478"/>
  </r>
  <r>
    <x v="3"/>
    <x v="1"/>
    <x v="5"/>
    <x v="2"/>
    <x v="423"/>
    <x v="1"/>
    <n v="27500"/>
    <n v="11.8"/>
    <x v="479"/>
    <x v="479"/>
  </r>
  <r>
    <x v="3"/>
    <x v="0"/>
    <x v="8"/>
    <x v="4"/>
    <x v="58"/>
    <x v="4"/>
    <n v="27000"/>
    <n v="64.790000000000006"/>
    <x v="480"/>
    <x v="480"/>
  </r>
  <r>
    <x v="6"/>
    <x v="1"/>
    <x v="7"/>
    <x v="5"/>
    <x v="310"/>
    <x v="4"/>
    <n v="44000"/>
    <n v="19.53"/>
    <x v="481"/>
    <x v="481"/>
  </r>
  <r>
    <x v="2"/>
    <x v="1"/>
    <x v="0"/>
    <x v="4"/>
    <x v="424"/>
    <x v="0"/>
    <n v="66000"/>
    <n v="37.69"/>
    <x v="482"/>
    <x v="482"/>
  </r>
  <r>
    <x v="6"/>
    <x v="0"/>
    <x v="1"/>
    <x v="1"/>
    <x v="425"/>
    <x v="0"/>
    <n v="88500"/>
    <n v="49.72"/>
    <x v="483"/>
    <x v="483"/>
  </r>
  <r>
    <x v="0"/>
    <x v="1"/>
    <x v="2"/>
    <x v="4"/>
    <x v="272"/>
    <x v="1"/>
    <n v="30500"/>
    <n v="65.319999999999993"/>
    <x v="484"/>
    <x v="484"/>
  </r>
  <r>
    <x v="4"/>
    <x v="0"/>
    <x v="3"/>
    <x v="1"/>
    <x v="426"/>
    <x v="3"/>
    <n v="135000"/>
    <n v="10.7"/>
    <x v="485"/>
    <x v="485"/>
  </r>
  <r>
    <x v="7"/>
    <x v="2"/>
    <x v="4"/>
    <x v="5"/>
    <x v="100"/>
    <x v="3"/>
    <n v="192000"/>
    <n v="26.79"/>
    <x v="486"/>
    <x v="486"/>
  </r>
  <r>
    <x v="7"/>
    <x v="4"/>
    <x v="0"/>
    <x v="0"/>
    <x v="427"/>
    <x v="3"/>
    <n v="180000"/>
    <n v="17.940000000000001"/>
    <x v="487"/>
    <x v="487"/>
  </r>
  <r>
    <x v="8"/>
    <x v="3"/>
    <x v="7"/>
    <x v="3"/>
    <x v="260"/>
    <x v="1"/>
    <n v="27500"/>
    <n v="46.65"/>
    <x v="488"/>
    <x v="488"/>
  </r>
  <r>
    <x v="0"/>
    <x v="4"/>
    <x v="0"/>
    <x v="1"/>
    <x v="342"/>
    <x v="2"/>
    <n v="54000"/>
    <n v="54.26"/>
    <x v="489"/>
    <x v="489"/>
  </r>
  <r>
    <x v="7"/>
    <x v="3"/>
    <x v="4"/>
    <x v="2"/>
    <x v="428"/>
    <x v="0"/>
    <n v="91500"/>
    <n v="40.11"/>
    <x v="490"/>
    <x v="490"/>
  </r>
  <r>
    <x v="4"/>
    <x v="0"/>
    <x v="8"/>
    <x v="3"/>
    <x v="107"/>
    <x v="1"/>
    <n v="27500"/>
    <n v="58.26"/>
    <x v="491"/>
    <x v="491"/>
  </r>
  <r>
    <x v="3"/>
    <x v="3"/>
    <x v="2"/>
    <x v="2"/>
    <x v="429"/>
    <x v="3"/>
    <n v="123000"/>
    <n v="43.61"/>
    <x v="492"/>
    <x v="492"/>
  </r>
  <r>
    <x v="7"/>
    <x v="3"/>
    <x v="3"/>
    <x v="4"/>
    <x v="263"/>
    <x v="4"/>
    <n v="54000"/>
    <n v="13.92"/>
    <x v="493"/>
    <x v="493"/>
  </r>
  <r>
    <x v="6"/>
    <x v="0"/>
    <x v="3"/>
    <x v="0"/>
    <x v="30"/>
    <x v="4"/>
    <n v="61000"/>
    <n v="53.14"/>
    <x v="494"/>
    <x v="494"/>
  </r>
  <r>
    <x v="2"/>
    <x v="4"/>
    <x v="9"/>
    <x v="4"/>
    <x v="430"/>
    <x v="1"/>
    <n v="18500"/>
    <n v="63.27"/>
    <x v="495"/>
    <x v="495"/>
  </r>
  <r>
    <x v="8"/>
    <x v="2"/>
    <x v="5"/>
    <x v="0"/>
    <x v="412"/>
    <x v="0"/>
    <n v="97500"/>
    <n v="27.26"/>
    <x v="496"/>
    <x v="496"/>
  </r>
  <r>
    <x v="2"/>
    <x v="4"/>
    <x v="0"/>
    <x v="5"/>
    <x v="431"/>
    <x v="1"/>
    <n v="25000"/>
    <n v="31.8"/>
    <x v="497"/>
    <x v="497"/>
  </r>
  <r>
    <x v="1"/>
    <x v="4"/>
    <x v="1"/>
    <x v="1"/>
    <x v="432"/>
    <x v="0"/>
    <n v="61500"/>
    <n v="23.66"/>
    <x v="498"/>
    <x v="498"/>
  </r>
  <r>
    <x v="1"/>
    <x v="3"/>
    <x v="6"/>
    <x v="4"/>
    <x v="433"/>
    <x v="1"/>
    <n v="32500"/>
    <n v="68.010000000000005"/>
    <x v="499"/>
    <x v="499"/>
  </r>
  <r>
    <x v="2"/>
    <x v="3"/>
    <x v="5"/>
    <x v="3"/>
    <x v="361"/>
    <x v="2"/>
    <n v="62000"/>
    <n v="21.96"/>
    <x v="500"/>
    <x v="500"/>
  </r>
  <r>
    <x v="4"/>
    <x v="3"/>
    <x v="6"/>
    <x v="4"/>
    <x v="434"/>
    <x v="0"/>
    <n v="66000"/>
    <n v="60.84"/>
    <x v="501"/>
    <x v="501"/>
  </r>
  <r>
    <x v="8"/>
    <x v="0"/>
    <x v="8"/>
    <x v="4"/>
    <x v="156"/>
    <x v="4"/>
    <n v="49000"/>
    <n v="55.54"/>
    <x v="502"/>
    <x v="502"/>
  </r>
  <r>
    <x v="0"/>
    <x v="1"/>
    <x v="9"/>
    <x v="1"/>
    <x v="4"/>
    <x v="4"/>
    <n v="54000"/>
    <n v="11.4"/>
    <x v="503"/>
    <x v="503"/>
  </r>
  <r>
    <x v="0"/>
    <x v="2"/>
    <x v="6"/>
    <x v="2"/>
    <x v="435"/>
    <x v="4"/>
    <n v="19000"/>
    <n v="42.58"/>
    <x v="504"/>
    <x v="504"/>
  </r>
  <r>
    <x v="8"/>
    <x v="3"/>
    <x v="4"/>
    <x v="0"/>
    <x v="436"/>
    <x v="4"/>
    <n v="62000"/>
    <n v="48.84"/>
    <x v="505"/>
    <x v="505"/>
  </r>
  <r>
    <x v="6"/>
    <x v="0"/>
    <x v="9"/>
    <x v="1"/>
    <x v="437"/>
    <x v="2"/>
    <n v="112000"/>
    <n v="44.01"/>
    <x v="506"/>
    <x v="506"/>
  </r>
  <r>
    <x v="2"/>
    <x v="4"/>
    <x v="4"/>
    <x v="0"/>
    <x v="438"/>
    <x v="1"/>
    <n v="17000"/>
    <n v="60.68"/>
    <x v="507"/>
    <x v="507"/>
  </r>
  <r>
    <x v="1"/>
    <x v="1"/>
    <x v="6"/>
    <x v="0"/>
    <x v="439"/>
    <x v="3"/>
    <n v="198000"/>
    <n v="17.11"/>
    <x v="508"/>
    <x v="508"/>
  </r>
  <r>
    <x v="7"/>
    <x v="3"/>
    <x v="4"/>
    <x v="0"/>
    <x v="440"/>
    <x v="0"/>
    <n v="78000"/>
    <n v="66.5"/>
    <x v="509"/>
    <x v="509"/>
  </r>
  <r>
    <x v="2"/>
    <x v="2"/>
    <x v="9"/>
    <x v="4"/>
    <x v="441"/>
    <x v="3"/>
    <n v="54000"/>
    <n v="20.329999999999998"/>
    <x v="510"/>
    <x v="510"/>
  </r>
  <r>
    <x v="7"/>
    <x v="2"/>
    <x v="7"/>
    <x v="3"/>
    <x v="442"/>
    <x v="2"/>
    <n v="62000"/>
    <n v="43.92"/>
    <x v="511"/>
    <x v="511"/>
  </r>
  <r>
    <x v="1"/>
    <x v="0"/>
    <x v="1"/>
    <x v="1"/>
    <x v="443"/>
    <x v="2"/>
    <n v="48000"/>
    <n v="31.77"/>
    <x v="512"/>
    <x v="512"/>
  </r>
  <r>
    <x v="4"/>
    <x v="1"/>
    <x v="2"/>
    <x v="4"/>
    <x v="444"/>
    <x v="2"/>
    <n v="58000"/>
    <n v="62.1"/>
    <x v="513"/>
    <x v="513"/>
  </r>
  <r>
    <x v="1"/>
    <x v="3"/>
    <x v="3"/>
    <x v="0"/>
    <x v="445"/>
    <x v="3"/>
    <n v="93000"/>
    <n v="53.99"/>
    <x v="514"/>
    <x v="514"/>
  </r>
  <r>
    <x v="3"/>
    <x v="0"/>
    <x v="8"/>
    <x v="0"/>
    <x v="446"/>
    <x v="2"/>
    <n v="80000"/>
    <n v="52.79"/>
    <x v="515"/>
    <x v="515"/>
  </r>
  <r>
    <x v="6"/>
    <x v="3"/>
    <x v="7"/>
    <x v="0"/>
    <x v="447"/>
    <x v="2"/>
    <n v="76000"/>
    <n v="56.5"/>
    <x v="516"/>
    <x v="516"/>
  </r>
  <r>
    <x v="6"/>
    <x v="3"/>
    <x v="0"/>
    <x v="2"/>
    <x v="448"/>
    <x v="3"/>
    <n v="78000"/>
    <n v="30.69"/>
    <x v="517"/>
    <x v="517"/>
  </r>
  <r>
    <x v="0"/>
    <x v="1"/>
    <x v="4"/>
    <x v="1"/>
    <x v="449"/>
    <x v="0"/>
    <n v="40500"/>
    <n v="42.49"/>
    <x v="518"/>
    <x v="518"/>
  </r>
  <r>
    <x v="8"/>
    <x v="0"/>
    <x v="3"/>
    <x v="1"/>
    <x v="450"/>
    <x v="2"/>
    <n v="114000"/>
    <n v="34.729999999999997"/>
    <x v="519"/>
    <x v="519"/>
  </r>
  <r>
    <x v="5"/>
    <x v="0"/>
    <x v="0"/>
    <x v="4"/>
    <x v="451"/>
    <x v="3"/>
    <n v="114000"/>
    <n v="25.35"/>
    <x v="520"/>
    <x v="520"/>
  </r>
  <r>
    <x v="8"/>
    <x v="1"/>
    <x v="0"/>
    <x v="2"/>
    <x v="452"/>
    <x v="1"/>
    <n v="31000"/>
    <n v="16.86"/>
    <x v="521"/>
    <x v="521"/>
  </r>
  <r>
    <x v="4"/>
    <x v="3"/>
    <x v="1"/>
    <x v="1"/>
    <x v="453"/>
    <x v="0"/>
    <n v="82500"/>
    <n v="69.37"/>
    <x v="522"/>
    <x v="522"/>
  </r>
  <r>
    <x v="9"/>
    <x v="4"/>
    <x v="6"/>
    <x v="1"/>
    <x v="454"/>
    <x v="3"/>
    <n v="150000"/>
    <n v="52.28"/>
    <x v="523"/>
    <x v="523"/>
  </r>
  <r>
    <x v="2"/>
    <x v="0"/>
    <x v="0"/>
    <x v="4"/>
    <x v="455"/>
    <x v="2"/>
    <n v="92000"/>
    <n v="45.93"/>
    <x v="524"/>
    <x v="524"/>
  </r>
  <r>
    <x v="7"/>
    <x v="3"/>
    <x v="7"/>
    <x v="1"/>
    <x v="148"/>
    <x v="3"/>
    <n v="132000"/>
    <n v="24.83"/>
    <x v="525"/>
    <x v="525"/>
  </r>
  <r>
    <x v="3"/>
    <x v="1"/>
    <x v="9"/>
    <x v="0"/>
    <x v="257"/>
    <x v="2"/>
    <n v="74000"/>
    <n v="20.37"/>
    <x v="526"/>
    <x v="526"/>
  </r>
  <r>
    <x v="8"/>
    <x v="3"/>
    <x v="5"/>
    <x v="4"/>
    <x v="456"/>
    <x v="2"/>
    <n v="64000"/>
    <n v="19.27"/>
    <x v="527"/>
    <x v="527"/>
  </r>
  <r>
    <x v="0"/>
    <x v="1"/>
    <x v="6"/>
    <x v="0"/>
    <x v="457"/>
    <x v="0"/>
    <n v="37500"/>
    <n v="33.090000000000003"/>
    <x v="528"/>
    <x v="528"/>
  </r>
  <r>
    <x v="1"/>
    <x v="2"/>
    <x v="9"/>
    <x v="0"/>
    <x v="458"/>
    <x v="2"/>
    <n v="128000"/>
    <n v="51.45"/>
    <x v="529"/>
    <x v="529"/>
  </r>
  <r>
    <x v="4"/>
    <x v="2"/>
    <x v="6"/>
    <x v="3"/>
    <x v="459"/>
    <x v="4"/>
    <n v="57000"/>
    <n v="68.89"/>
    <x v="530"/>
    <x v="530"/>
  </r>
  <r>
    <x v="8"/>
    <x v="0"/>
    <x v="6"/>
    <x v="3"/>
    <x v="17"/>
    <x v="0"/>
    <n v="28500"/>
    <n v="57.84"/>
    <x v="531"/>
    <x v="531"/>
  </r>
  <r>
    <x v="1"/>
    <x v="3"/>
    <x v="7"/>
    <x v="4"/>
    <x v="460"/>
    <x v="3"/>
    <n v="60000"/>
    <n v="24.18"/>
    <x v="532"/>
    <x v="532"/>
  </r>
  <r>
    <x v="7"/>
    <x v="1"/>
    <x v="7"/>
    <x v="2"/>
    <x v="461"/>
    <x v="0"/>
    <n v="49500"/>
    <n v="49.29"/>
    <x v="533"/>
    <x v="533"/>
  </r>
  <r>
    <x v="4"/>
    <x v="0"/>
    <x v="6"/>
    <x v="3"/>
    <x v="462"/>
    <x v="2"/>
    <n v="50000"/>
    <n v="11.59"/>
    <x v="534"/>
    <x v="534"/>
  </r>
  <r>
    <x v="8"/>
    <x v="3"/>
    <x v="0"/>
    <x v="3"/>
    <x v="463"/>
    <x v="2"/>
    <n v="102000"/>
    <n v="14.87"/>
    <x v="535"/>
    <x v="535"/>
  </r>
  <r>
    <x v="0"/>
    <x v="0"/>
    <x v="6"/>
    <x v="0"/>
    <x v="464"/>
    <x v="2"/>
    <n v="68000"/>
    <n v="31.33"/>
    <x v="536"/>
    <x v="536"/>
  </r>
  <r>
    <x v="5"/>
    <x v="1"/>
    <x v="6"/>
    <x v="1"/>
    <x v="465"/>
    <x v="2"/>
    <n v="54000"/>
    <n v="35.57"/>
    <x v="537"/>
    <x v="537"/>
  </r>
  <r>
    <x v="7"/>
    <x v="1"/>
    <x v="8"/>
    <x v="2"/>
    <x v="230"/>
    <x v="1"/>
    <n v="14000"/>
    <n v="45.73"/>
    <x v="538"/>
    <x v="538"/>
  </r>
  <r>
    <x v="8"/>
    <x v="4"/>
    <x v="2"/>
    <x v="3"/>
    <x v="466"/>
    <x v="0"/>
    <n v="84000"/>
    <n v="15.01"/>
    <x v="539"/>
    <x v="539"/>
  </r>
  <r>
    <x v="4"/>
    <x v="3"/>
    <x v="6"/>
    <x v="5"/>
    <x v="467"/>
    <x v="0"/>
    <n v="67500"/>
    <n v="36.4"/>
    <x v="540"/>
    <x v="540"/>
  </r>
  <r>
    <x v="0"/>
    <x v="2"/>
    <x v="0"/>
    <x v="5"/>
    <x v="468"/>
    <x v="1"/>
    <n v="33000"/>
    <n v="56.92"/>
    <x v="541"/>
    <x v="541"/>
  </r>
  <r>
    <x v="7"/>
    <x v="1"/>
    <x v="2"/>
    <x v="3"/>
    <x v="469"/>
    <x v="0"/>
    <n v="55500"/>
    <n v="44.05"/>
    <x v="542"/>
    <x v="542"/>
  </r>
  <r>
    <x v="8"/>
    <x v="4"/>
    <x v="2"/>
    <x v="0"/>
    <x v="407"/>
    <x v="1"/>
    <n v="12000"/>
    <n v="40.4"/>
    <x v="543"/>
    <x v="543"/>
  </r>
  <r>
    <x v="7"/>
    <x v="1"/>
    <x v="8"/>
    <x v="4"/>
    <x v="470"/>
    <x v="2"/>
    <n v="56000"/>
    <n v="15.95"/>
    <x v="544"/>
    <x v="544"/>
  </r>
  <r>
    <x v="4"/>
    <x v="0"/>
    <x v="8"/>
    <x v="0"/>
    <x v="471"/>
    <x v="1"/>
    <n v="33000"/>
    <n v="35.729999999999997"/>
    <x v="545"/>
    <x v="545"/>
  </r>
  <r>
    <x v="3"/>
    <x v="4"/>
    <x v="6"/>
    <x v="1"/>
    <x v="472"/>
    <x v="1"/>
    <n v="32000"/>
    <n v="56.46"/>
    <x v="546"/>
    <x v="546"/>
  </r>
  <r>
    <x v="5"/>
    <x v="1"/>
    <x v="2"/>
    <x v="1"/>
    <x v="125"/>
    <x v="3"/>
    <n v="138000"/>
    <n v="11.66"/>
    <x v="547"/>
    <x v="547"/>
  </r>
  <r>
    <x v="5"/>
    <x v="2"/>
    <x v="0"/>
    <x v="5"/>
    <x v="473"/>
    <x v="1"/>
    <n v="32000"/>
    <n v="23.04"/>
    <x v="548"/>
    <x v="548"/>
  </r>
  <r>
    <x v="4"/>
    <x v="4"/>
    <x v="5"/>
    <x v="5"/>
    <x v="395"/>
    <x v="3"/>
    <n v="114000"/>
    <n v="65.33"/>
    <x v="549"/>
    <x v="5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F8DEA2-98A4-4CAB-8EFD-A00AB56438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items count="6">
        <item x="3"/>
        <item x="4"/>
        <item x="1"/>
        <item x="2"/>
        <item x="0"/>
        <item t="default"/>
      </items>
    </pivotField>
    <pivotField showAll="0">
      <items count="11">
        <item h="1" x="8"/>
        <item h="1" x="4"/>
        <item x="0"/>
        <item x="2"/>
        <item x="7"/>
        <item x="6"/>
        <item x="1"/>
        <item x="9"/>
        <item x="5"/>
        <item x="3"/>
        <item t="default"/>
      </items>
    </pivotField>
    <pivotField showAll="0">
      <items count="7">
        <item x="3"/>
        <item x="5"/>
        <item x="0"/>
        <item x="2"/>
        <item x="1"/>
        <item x="4"/>
        <item t="default"/>
      </items>
    </pivotField>
    <pivotField numFmtId="164" showAll="0">
      <items count="475">
        <item x="275"/>
        <item x="312"/>
        <item x="158"/>
        <item x="234"/>
        <item x="267"/>
        <item x="151"/>
        <item x="38"/>
        <item x="245"/>
        <item x="389"/>
        <item x="345"/>
        <item x="188"/>
        <item x="50"/>
        <item x="167"/>
        <item x="292"/>
        <item x="468"/>
        <item x="471"/>
        <item x="439"/>
        <item x="192"/>
        <item x="347"/>
        <item x="205"/>
        <item x="433"/>
        <item x="171"/>
        <item x="390"/>
        <item x="44"/>
        <item x="262"/>
        <item x="293"/>
        <item x="412"/>
        <item x="164"/>
        <item x="284"/>
        <item x="472"/>
        <item x="458"/>
        <item x="274"/>
        <item x="140"/>
        <item x="473"/>
        <item x="126"/>
        <item x="100"/>
        <item x="196"/>
        <item x="265"/>
        <item x="28"/>
        <item x="61"/>
        <item x="212"/>
        <item x="136"/>
        <item x="35"/>
        <item x="19"/>
        <item x="187"/>
        <item x="105"/>
        <item x="335"/>
        <item x="418"/>
        <item x="94"/>
        <item x="408"/>
        <item x="79"/>
        <item x="400"/>
        <item x="452"/>
        <item x="206"/>
        <item x="138"/>
        <item x="12"/>
        <item x="308"/>
        <item x="436"/>
        <item x="261"/>
        <item x="346"/>
        <item x="129"/>
        <item x="272"/>
        <item x="30"/>
        <item x="294"/>
        <item x="341"/>
        <item x="127"/>
        <item x="132"/>
        <item x="334"/>
        <item x="428"/>
        <item x="198"/>
        <item x="427"/>
        <item x="216"/>
        <item x="54"/>
        <item x="20"/>
        <item x="344"/>
        <item x="8"/>
        <item x="193"/>
        <item x="118"/>
        <item x="204"/>
        <item x="295"/>
        <item x="123"/>
        <item x="23"/>
        <item x="264"/>
        <item x="414"/>
        <item x="183"/>
        <item x="425"/>
        <item x="93"/>
        <item x="364"/>
        <item x="165"/>
        <item x="116"/>
        <item x="190"/>
        <item x="333"/>
        <item x="76"/>
        <item x="450"/>
        <item x="271"/>
        <item x="381"/>
        <item x="459"/>
        <item x="229"/>
        <item x="141"/>
        <item x="24"/>
        <item x="394"/>
        <item x="246"/>
        <item x="186"/>
        <item x="104"/>
        <item x="376"/>
        <item x="313"/>
        <item x="278"/>
        <item x="336"/>
        <item x="316"/>
        <item x="296"/>
        <item x="417"/>
        <item x="437"/>
        <item x="466"/>
        <item x="252"/>
        <item x="413"/>
        <item x="25"/>
        <item x="200"/>
        <item x="348"/>
        <item x="453"/>
        <item x="150"/>
        <item x="134"/>
        <item x="244"/>
        <item x="107"/>
        <item x="327"/>
        <item x="423"/>
        <item x="260"/>
        <item x="201"/>
        <item x="63"/>
        <item x="350"/>
        <item x="131"/>
        <item x="365"/>
        <item x="263"/>
        <item x="208"/>
        <item x="0"/>
        <item x="243"/>
        <item x="4"/>
        <item x="139"/>
        <item x="152"/>
        <item x="96"/>
        <item x="300"/>
        <item x="203"/>
        <item x="398"/>
        <item x="217"/>
        <item x="248"/>
        <item x="9"/>
        <item x="31"/>
        <item x="386"/>
        <item x="440"/>
        <item x="343"/>
        <item x="251"/>
        <item x="14"/>
        <item x="144"/>
        <item x="297"/>
        <item x="280"/>
        <item x="106"/>
        <item x="5"/>
        <item x="137"/>
        <item x="402"/>
        <item x="184"/>
        <item x="46"/>
        <item x="133"/>
        <item x="463"/>
        <item x="108"/>
        <item x="287"/>
        <item x="419"/>
        <item x="431"/>
        <item x="42"/>
        <item x="147"/>
        <item x="128"/>
        <item x="86"/>
        <item x="11"/>
        <item x="454"/>
        <item x="349"/>
        <item x="318"/>
        <item x="224"/>
        <item x="369"/>
        <item x="143"/>
        <item x="156"/>
        <item x="380"/>
        <item x="209"/>
        <item x="325"/>
        <item x="317"/>
        <item x="73"/>
        <item x="103"/>
        <item x="213"/>
        <item x="321"/>
        <item x="222"/>
        <item x="32"/>
        <item x="177"/>
        <item x="422"/>
        <item x="41"/>
        <item x="384"/>
        <item x="69"/>
        <item x="416"/>
        <item x="358"/>
        <item x="367"/>
        <item x="70"/>
        <item x="159"/>
        <item x="309"/>
        <item x="298"/>
        <item x="391"/>
        <item x="180"/>
        <item x="109"/>
        <item x="266"/>
        <item x="16"/>
        <item x="101"/>
        <item x="362"/>
        <item x="125"/>
        <item x="340"/>
        <item x="122"/>
        <item x="455"/>
        <item x="15"/>
        <item x="426"/>
        <item x="338"/>
        <item x="1"/>
        <item x="467"/>
        <item x="215"/>
        <item x="331"/>
        <item x="39"/>
        <item x="220"/>
        <item x="225"/>
        <item x="330"/>
        <item x="396"/>
        <item x="410"/>
        <item x="228"/>
        <item x="310"/>
        <item x="148"/>
        <item x="424"/>
        <item x="434"/>
        <item x="27"/>
        <item x="415"/>
        <item x="221"/>
        <item x="7"/>
        <item x="328"/>
        <item x="64"/>
        <item x="421"/>
        <item x="149"/>
        <item x="60"/>
        <item x="178"/>
        <item x="181"/>
        <item x="385"/>
        <item x="43"/>
        <item x="121"/>
        <item x="66"/>
        <item x="403"/>
        <item x="52"/>
        <item x="83"/>
        <item x="56"/>
        <item x="363"/>
        <item x="383"/>
        <item x="88"/>
        <item x="33"/>
        <item x="87"/>
        <item x="218"/>
        <item x="387"/>
        <item x="359"/>
        <item x="429"/>
        <item x="432"/>
        <item x="305"/>
        <item x="174"/>
        <item x="26"/>
        <item x="446"/>
        <item x="375"/>
        <item x="219"/>
        <item x="223"/>
        <item x="145"/>
        <item x="301"/>
        <item x="113"/>
        <item x="102"/>
        <item x="306"/>
        <item x="368"/>
        <item x="239"/>
        <item x="124"/>
        <item x="72"/>
        <item x="82"/>
        <item x="405"/>
        <item x="6"/>
        <item x="233"/>
        <item x="254"/>
        <item x="189"/>
        <item x="162"/>
        <item x="311"/>
        <item x="353"/>
        <item x="371"/>
        <item x="153"/>
        <item x="194"/>
        <item x="447"/>
        <item x="247"/>
        <item x="173"/>
        <item x="451"/>
        <item x="146"/>
        <item x="211"/>
        <item x="288"/>
        <item x="395"/>
        <item x="182"/>
        <item x="273"/>
        <item x="469"/>
        <item x="401"/>
        <item x="37"/>
        <item x="34"/>
        <item x="430"/>
        <item x="379"/>
        <item x="237"/>
        <item x="257"/>
        <item x="242"/>
        <item x="71"/>
        <item x="166"/>
        <item x="299"/>
        <item x="99"/>
        <item x="84"/>
        <item x="22"/>
        <item x="326"/>
        <item x="92"/>
        <item x="112"/>
        <item x="235"/>
        <item x="114"/>
        <item x="160"/>
        <item x="283"/>
        <item x="357"/>
        <item x="119"/>
        <item x="90"/>
        <item x="57"/>
        <item x="372"/>
        <item x="286"/>
        <item x="75"/>
        <item x="232"/>
        <item x="214"/>
        <item x="464"/>
        <item x="329"/>
        <item x="438"/>
        <item x="120"/>
        <item x="461"/>
        <item x="18"/>
        <item x="91"/>
        <item x="55"/>
        <item x="89"/>
        <item x="397"/>
        <item x="382"/>
        <item x="115"/>
        <item x="77"/>
        <item x="277"/>
        <item x="65"/>
        <item x="303"/>
        <item x="172"/>
        <item x="456"/>
        <item x="207"/>
        <item x="85"/>
        <item x="304"/>
        <item x="324"/>
        <item x="197"/>
        <item x="445"/>
        <item x="442"/>
        <item x="399"/>
        <item x="291"/>
        <item x="361"/>
        <item x="21"/>
        <item x="179"/>
        <item x="256"/>
        <item x="315"/>
        <item x="351"/>
        <item x="3"/>
        <item x="157"/>
        <item x="393"/>
        <item x="337"/>
        <item x="240"/>
        <item x="195"/>
        <item x="238"/>
        <item x="250"/>
        <item x="170"/>
        <item x="352"/>
        <item x="404"/>
        <item x="29"/>
        <item x="370"/>
        <item x="163"/>
        <item x="135"/>
        <item x="236"/>
        <item x="420"/>
        <item x="444"/>
        <item x="285"/>
        <item x="355"/>
        <item x="230"/>
        <item x="470"/>
        <item x="388"/>
        <item x="409"/>
        <item x="199"/>
        <item x="161"/>
        <item x="226"/>
        <item x="169"/>
        <item x="342"/>
        <item x="268"/>
        <item x="411"/>
        <item x="36"/>
        <item x="465"/>
        <item x="449"/>
        <item x="48"/>
        <item x="58"/>
        <item x="10"/>
        <item x="78"/>
        <item x="269"/>
        <item x="332"/>
        <item x="392"/>
        <item x="231"/>
        <item x="62"/>
        <item x="191"/>
        <item x="448"/>
        <item x="154"/>
        <item x="185"/>
        <item x="59"/>
        <item x="360"/>
        <item x="462"/>
        <item x="97"/>
        <item x="45"/>
        <item x="241"/>
        <item x="457"/>
        <item x="98"/>
        <item x="323"/>
        <item x="290"/>
        <item x="110"/>
        <item x="155"/>
        <item x="319"/>
        <item x="276"/>
        <item x="282"/>
        <item x="117"/>
        <item x="407"/>
        <item x="249"/>
        <item x="130"/>
        <item x="443"/>
        <item x="142"/>
        <item x="53"/>
        <item x="111"/>
        <item x="378"/>
        <item x="279"/>
        <item x="354"/>
        <item x="307"/>
        <item x="253"/>
        <item x="168"/>
        <item x="210"/>
        <item x="81"/>
        <item x="47"/>
        <item x="255"/>
        <item x="314"/>
        <item x="176"/>
        <item x="74"/>
        <item x="270"/>
        <item x="67"/>
        <item x="356"/>
        <item x="49"/>
        <item x="202"/>
        <item x="339"/>
        <item x="289"/>
        <item x="2"/>
        <item x="302"/>
        <item x="68"/>
        <item x="259"/>
        <item x="460"/>
        <item x="366"/>
        <item x="322"/>
        <item x="435"/>
        <item x="373"/>
        <item x="17"/>
        <item x="227"/>
        <item x="258"/>
        <item x="377"/>
        <item x="95"/>
        <item x="80"/>
        <item x="320"/>
        <item x="51"/>
        <item x="374"/>
        <item x="281"/>
        <item x="40"/>
        <item x="406"/>
        <item x="441"/>
        <item x="13"/>
        <item x="175"/>
        <item t="default"/>
      </items>
    </pivotField>
    <pivotField numFmtId="165" showAll="0"/>
    <pivotField dataField="1" numFmtId="165" showAll="0"/>
    <pivotField numFmtId="165" showAll="0"/>
    <pivotField dataField="1" numFmtId="165"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4">
    <i>
      <x/>
    </i>
    <i i="1">
      <x v="1"/>
    </i>
    <i i="2">
      <x v="2"/>
    </i>
    <i i="3">
      <x v="3"/>
    </i>
  </colItems>
  <dataFields count="4">
    <dataField name="Sum of Total Invested " fld="6" baseField="0" baseItem="0" numFmtId="165"/>
    <dataField name="Count of Fund Name" fld="0" subtotal="count" baseField="0" baseItem="0"/>
    <dataField name="Sum of Current Value " fld="8" baseField="0" baseItem="0" numFmtId="165"/>
    <dataField name="Average of Returns " fld="9"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91F8FB-5F59-4EB2-A037-0D3A09D05C2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K5:M14" firstHeaderRow="0" firstDataRow="1" firstDataCol="1"/>
  <pivotFields count="13">
    <pivotField showAll="0">
      <items count="11">
        <item x="8"/>
        <item x="0"/>
        <item x="6"/>
        <item x="2"/>
        <item x="9"/>
        <item x="5"/>
        <item x="7"/>
        <item x="1"/>
        <item x="4"/>
        <item x="3"/>
        <item t="default"/>
      </items>
    </pivotField>
    <pivotField showAll="0">
      <items count="6">
        <item h="1" x="3"/>
        <item h="1" x="4"/>
        <item h="1" x="1"/>
        <item h="1" x="2"/>
        <item x="0"/>
        <item t="default"/>
      </items>
    </pivotField>
    <pivotField axis="axisRow" showAll="0">
      <items count="11">
        <item h="1" x="8"/>
        <item h="1" x="4"/>
        <item x="0"/>
        <item x="2"/>
        <item x="7"/>
        <item x="6"/>
        <item x="1"/>
        <item x="9"/>
        <item x="5"/>
        <item x="3"/>
        <item t="default"/>
      </items>
    </pivotField>
    <pivotField showAll="0">
      <items count="7">
        <item h="1" x="3"/>
        <item h="1" x="5"/>
        <item h="1" x="0"/>
        <item h="1" x="2"/>
        <item h="1" x="1"/>
        <item x="4"/>
        <item t="default"/>
      </items>
    </pivotField>
    <pivotField numFmtId="164" showAll="0">
      <items count="475">
        <item h="1" x="275"/>
        <item h="1" x="312"/>
        <item h="1" x="158"/>
        <item h="1" x="234"/>
        <item h="1" x="267"/>
        <item h="1" x="151"/>
        <item h="1" x="38"/>
        <item h="1" x="245"/>
        <item h="1" x="389"/>
        <item h="1" x="345"/>
        <item h="1" x="188"/>
        <item h="1" x="50"/>
        <item h="1" x="167"/>
        <item h="1" x="292"/>
        <item h="1" x="468"/>
        <item h="1" x="471"/>
        <item h="1" x="439"/>
        <item h="1" x="192"/>
        <item h="1" x="347"/>
        <item h="1" x="205"/>
        <item h="1" x="433"/>
        <item h="1" x="171"/>
        <item h="1" x="390"/>
        <item h="1" x="44"/>
        <item h="1" x="262"/>
        <item h="1" x="293"/>
        <item h="1" x="412"/>
        <item h="1" x="164"/>
        <item h="1" x="284"/>
        <item h="1" x="472"/>
        <item h="1" x="458"/>
        <item h="1" x="274"/>
        <item h="1" x="140"/>
        <item h="1" x="473"/>
        <item h="1" x="126"/>
        <item h="1" x="100"/>
        <item h="1" x="196"/>
        <item h="1" x="265"/>
        <item h="1" x="28"/>
        <item h="1" x="61"/>
        <item h="1" x="212"/>
        <item h="1" x="136"/>
        <item h="1" x="35"/>
        <item h="1" x="19"/>
        <item h="1" x="187"/>
        <item h="1" x="105"/>
        <item h="1" x="335"/>
        <item h="1" x="418"/>
        <item h="1" x="94"/>
        <item h="1" x="408"/>
        <item h="1" x="79"/>
        <item h="1" x="400"/>
        <item h="1" x="452"/>
        <item h="1" x="206"/>
        <item h="1" x="138"/>
        <item h="1" x="12"/>
        <item h="1" x="308"/>
        <item h="1" x="436"/>
        <item h="1" x="261"/>
        <item h="1" x="346"/>
        <item h="1" x="129"/>
        <item h="1" x="272"/>
        <item h="1" x="30"/>
        <item h="1" x="294"/>
        <item h="1" x="341"/>
        <item h="1" x="127"/>
        <item h="1" x="132"/>
        <item h="1" x="334"/>
        <item h="1" x="428"/>
        <item h="1" x="198"/>
        <item h="1" x="427"/>
        <item h="1" x="216"/>
        <item h="1" x="54"/>
        <item h="1" x="20"/>
        <item h="1" x="344"/>
        <item h="1" x="8"/>
        <item h="1" x="193"/>
        <item h="1" x="118"/>
        <item h="1" x="204"/>
        <item h="1" x="295"/>
        <item h="1" x="123"/>
        <item h="1" x="23"/>
        <item x="264"/>
        <item h="1" x="414"/>
        <item h="1" x="183"/>
        <item h="1" x="425"/>
        <item h="1" x="93"/>
        <item h="1" x="364"/>
        <item h="1" x="165"/>
        <item h="1" x="116"/>
        <item h="1" x="190"/>
        <item h="1" x="333"/>
        <item h="1" x="76"/>
        <item h="1" x="450"/>
        <item h="1" x="271"/>
        <item h="1" x="381"/>
        <item h="1" x="459"/>
        <item h="1" x="229"/>
        <item h="1" x="141"/>
        <item h="1" x="24"/>
        <item h="1" x="394"/>
        <item h="1" x="246"/>
        <item h="1" x="186"/>
        <item h="1" x="104"/>
        <item h="1" x="376"/>
        <item h="1" x="313"/>
        <item h="1" x="278"/>
        <item h="1" x="336"/>
        <item h="1" x="316"/>
        <item h="1" x="296"/>
        <item h="1" x="417"/>
        <item h="1" x="437"/>
        <item h="1" x="466"/>
        <item h="1" x="252"/>
        <item h="1" x="413"/>
        <item h="1" x="25"/>
        <item h="1" x="200"/>
        <item h="1" x="348"/>
        <item h="1" x="453"/>
        <item h="1" x="150"/>
        <item h="1" x="134"/>
        <item h="1" x="244"/>
        <item h="1" x="107"/>
        <item h="1" x="327"/>
        <item h="1" x="423"/>
        <item h="1" x="260"/>
        <item h="1" x="201"/>
        <item h="1" x="63"/>
        <item h="1" x="350"/>
        <item h="1" x="131"/>
        <item h="1" x="365"/>
        <item h="1" x="263"/>
        <item h="1" x="208"/>
        <item h="1" x="0"/>
        <item h="1" x="243"/>
        <item h="1" x="4"/>
        <item h="1" x="139"/>
        <item h="1" x="152"/>
        <item h="1" x="96"/>
        <item h="1" x="300"/>
        <item h="1" x="203"/>
        <item h="1" x="398"/>
        <item h="1" x="217"/>
        <item h="1" x="248"/>
        <item h="1" x="9"/>
        <item h="1" x="31"/>
        <item h="1" x="386"/>
        <item h="1" x="440"/>
        <item h="1" x="343"/>
        <item h="1" x="251"/>
        <item h="1" x="14"/>
        <item h="1" x="144"/>
        <item h="1" x="297"/>
        <item h="1" x="280"/>
        <item h="1" x="106"/>
        <item h="1" x="5"/>
        <item h="1" x="137"/>
        <item h="1" x="402"/>
        <item h="1" x="184"/>
        <item h="1" x="46"/>
        <item h="1" x="133"/>
        <item h="1" x="463"/>
        <item h="1" x="108"/>
        <item h="1" x="287"/>
        <item h="1" x="419"/>
        <item h="1" x="431"/>
        <item h="1" x="42"/>
        <item h="1" x="147"/>
        <item h="1" x="128"/>
        <item h="1" x="86"/>
        <item h="1" x="11"/>
        <item h="1" x="454"/>
        <item h="1" x="349"/>
        <item h="1" x="318"/>
        <item h="1" x="224"/>
        <item h="1" x="369"/>
        <item h="1" x="143"/>
        <item h="1" x="156"/>
        <item h="1" x="380"/>
        <item h="1" x="209"/>
        <item h="1" x="325"/>
        <item h="1" x="317"/>
        <item h="1" x="73"/>
        <item h="1" x="103"/>
        <item h="1" x="213"/>
        <item h="1" x="321"/>
        <item h="1" x="222"/>
        <item h="1" x="32"/>
        <item h="1" x="177"/>
        <item h="1" x="422"/>
        <item h="1" x="41"/>
        <item h="1" x="384"/>
        <item h="1" x="69"/>
        <item h="1" x="416"/>
        <item h="1" x="358"/>
        <item h="1" x="367"/>
        <item h="1" x="70"/>
        <item h="1" x="159"/>
        <item h="1" x="309"/>
        <item h="1" x="298"/>
        <item h="1" x="391"/>
        <item h="1" x="180"/>
        <item h="1" x="109"/>
        <item h="1" x="266"/>
        <item h="1" x="16"/>
        <item h="1" x="101"/>
        <item h="1" x="362"/>
        <item h="1" x="125"/>
        <item h="1" x="340"/>
        <item h="1" x="122"/>
        <item h="1" x="455"/>
        <item h="1" x="15"/>
        <item h="1" x="426"/>
        <item h="1" x="338"/>
        <item h="1" x="1"/>
        <item h="1" x="467"/>
        <item h="1" x="215"/>
        <item h="1" x="331"/>
        <item h="1" x="39"/>
        <item h="1" x="220"/>
        <item h="1" x="225"/>
        <item h="1" x="330"/>
        <item h="1" x="396"/>
        <item h="1" x="410"/>
        <item h="1" x="228"/>
        <item h="1" x="310"/>
        <item h="1" x="148"/>
        <item h="1" x="424"/>
        <item h="1" x="434"/>
        <item h="1" x="27"/>
        <item h="1" x="415"/>
        <item h="1" x="221"/>
        <item h="1" x="7"/>
        <item h="1" x="328"/>
        <item h="1" x="64"/>
        <item h="1" x="421"/>
        <item h="1" x="149"/>
        <item h="1" x="60"/>
        <item h="1" x="178"/>
        <item h="1" x="181"/>
        <item h="1" x="385"/>
        <item h="1" x="43"/>
        <item h="1" x="121"/>
        <item h="1" x="66"/>
        <item h="1" x="403"/>
        <item h="1" x="52"/>
        <item h="1" x="83"/>
        <item h="1" x="56"/>
        <item h="1" x="363"/>
        <item h="1" x="383"/>
        <item h="1" x="88"/>
        <item h="1" x="33"/>
        <item h="1" x="87"/>
        <item h="1" x="218"/>
        <item h="1" x="387"/>
        <item h="1" x="359"/>
        <item h="1" x="429"/>
        <item h="1" x="432"/>
        <item h="1" x="305"/>
        <item h="1" x="174"/>
        <item h="1" x="26"/>
        <item h="1" x="446"/>
        <item h="1" x="375"/>
        <item h="1" x="219"/>
        <item h="1" x="223"/>
        <item h="1" x="145"/>
        <item h="1" x="301"/>
        <item h="1" x="113"/>
        <item h="1" x="102"/>
        <item h="1" x="306"/>
        <item h="1" x="368"/>
        <item h="1" x="239"/>
        <item h="1" x="124"/>
        <item h="1" x="72"/>
        <item h="1" x="82"/>
        <item h="1" x="405"/>
        <item h="1" x="6"/>
        <item h="1" x="233"/>
        <item h="1" x="254"/>
        <item h="1" x="189"/>
        <item h="1" x="162"/>
        <item h="1" x="311"/>
        <item h="1" x="353"/>
        <item h="1" x="371"/>
        <item h="1" x="153"/>
        <item h="1" x="194"/>
        <item h="1" x="447"/>
        <item h="1" x="247"/>
        <item h="1" x="173"/>
        <item h="1" x="451"/>
        <item h="1" x="146"/>
        <item h="1" x="211"/>
        <item h="1" x="288"/>
        <item h="1" x="395"/>
        <item h="1" x="182"/>
        <item h="1" x="273"/>
        <item h="1" x="469"/>
        <item h="1" x="401"/>
        <item h="1" x="37"/>
        <item h="1" x="34"/>
        <item h="1" x="430"/>
        <item h="1" x="379"/>
        <item h="1" x="237"/>
        <item h="1" x="257"/>
        <item h="1" x="242"/>
        <item h="1" x="71"/>
        <item h="1" x="166"/>
        <item h="1" x="299"/>
        <item h="1" x="99"/>
        <item h="1" x="84"/>
        <item h="1" x="22"/>
        <item h="1" x="326"/>
        <item h="1" x="92"/>
        <item h="1" x="112"/>
        <item h="1" x="235"/>
        <item h="1" x="114"/>
        <item h="1" x="160"/>
        <item h="1" x="283"/>
        <item h="1" x="357"/>
        <item h="1" x="119"/>
        <item h="1" x="90"/>
        <item h="1" x="57"/>
        <item h="1" x="372"/>
        <item h="1" x="286"/>
        <item h="1" x="75"/>
        <item h="1" x="232"/>
        <item h="1" x="214"/>
        <item h="1" x="464"/>
        <item h="1" x="329"/>
        <item h="1" x="438"/>
        <item h="1" x="120"/>
        <item h="1" x="461"/>
        <item h="1" x="18"/>
        <item h="1" x="91"/>
        <item h="1" x="55"/>
        <item h="1" x="89"/>
        <item h="1" x="397"/>
        <item h="1" x="382"/>
        <item h="1" x="115"/>
        <item h="1" x="77"/>
        <item h="1" x="277"/>
        <item h="1" x="65"/>
        <item h="1" x="303"/>
        <item h="1" x="172"/>
        <item h="1" x="456"/>
        <item h="1" x="207"/>
        <item h="1" x="85"/>
        <item h="1" x="304"/>
        <item h="1" x="324"/>
        <item h="1" x="197"/>
        <item h="1" x="445"/>
        <item h="1" x="442"/>
        <item h="1" x="399"/>
        <item h="1" x="291"/>
        <item h="1" x="361"/>
        <item h="1" x="21"/>
        <item h="1" x="179"/>
        <item h="1" x="256"/>
        <item h="1" x="315"/>
        <item h="1" x="351"/>
        <item h="1" x="3"/>
        <item h="1" x="157"/>
        <item h="1" x="393"/>
        <item h="1" x="337"/>
        <item h="1" x="240"/>
        <item h="1" x="195"/>
        <item h="1" x="238"/>
        <item h="1" x="250"/>
        <item h="1" x="170"/>
        <item h="1" x="352"/>
        <item h="1" x="404"/>
        <item h="1" x="29"/>
        <item h="1" x="370"/>
        <item h="1" x="163"/>
        <item h="1" x="135"/>
        <item h="1" x="236"/>
        <item h="1" x="420"/>
        <item h="1" x="444"/>
        <item h="1" x="285"/>
        <item h="1" x="355"/>
        <item h="1" x="230"/>
        <item h="1" x="470"/>
        <item h="1" x="388"/>
        <item h="1" x="409"/>
        <item h="1" x="199"/>
        <item h="1" x="161"/>
        <item h="1" x="226"/>
        <item h="1" x="169"/>
        <item h="1" x="342"/>
        <item h="1" x="268"/>
        <item h="1" x="411"/>
        <item h="1" x="36"/>
        <item h="1" x="465"/>
        <item h="1" x="449"/>
        <item h="1" x="48"/>
        <item h="1" x="58"/>
        <item h="1" x="10"/>
        <item h="1" x="78"/>
        <item h="1" x="269"/>
        <item h="1" x="332"/>
        <item h="1" x="392"/>
        <item h="1" x="231"/>
        <item h="1" x="62"/>
        <item h="1" x="191"/>
        <item h="1" x="448"/>
        <item h="1" x="154"/>
        <item h="1" x="185"/>
        <item h="1" x="59"/>
        <item h="1" x="360"/>
        <item h="1" x="462"/>
        <item h="1" x="97"/>
        <item h="1" x="45"/>
        <item h="1" x="241"/>
        <item h="1" x="457"/>
        <item h="1" x="98"/>
        <item h="1" x="323"/>
        <item h="1" x="290"/>
        <item h="1" x="110"/>
        <item h="1" x="155"/>
        <item h="1" x="319"/>
        <item h="1" x="276"/>
        <item h="1" x="282"/>
        <item h="1" x="117"/>
        <item h="1" x="407"/>
        <item h="1" x="249"/>
        <item h="1" x="130"/>
        <item h="1" x="443"/>
        <item h="1" x="142"/>
        <item h="1" x="53"/>
        <item h="1" x="111"/>
        <item h="1" x="378"/>
        <item h="1" x="279"/>
        <item h="1" x="354"/>
        <item h="1" x="307"/>
        <item h="1" x="253"/>
        <item h="1" x="168"/>
        <item h="1" x="210"/>
        <item h="1" x="81"/>
        <item h="1" x="47"/>
        <item h="1" x="255"/>
        <item h="1" x="314"/>
        <item h="1" x="176"/>
        <item h="1" x="74"/>
        <item h="1" x="270"/>
        <item h="1" x="67"/>
        <item h="1" x="356"/>
        <item h="1" x="49"/>
        <item h="1" x="202"/>
        <item h="1" x="339"/>
        <item h="1" x="289"/>
        <item h="1" x="2"/>
        <item h="1" x="302"/>
        <item h="1" x="68"/>
        <item h="1" x="259"/>
        <item h="1" x="460"/>
        <item h="1" x="366"/>
        <item h="1" x="322"/>
        <item h="1" x="435"/>
        <item h="1" x="373"/>
        <item h="1" x="17"/>
        <item h="1" x="227"/>
        <item h="1" x="258"/>
        <item h="1" x="377"/>
        <item h="1" x="95"/>
        <item h="1" x="80"/>
        <item h="1" x="320"/>
        <item h="1" x="51"/>
        <item h="1" x="374"/>
        <item h="1" x="281"/>
        <item h="1" x="40"/>
        <item h="1" x="406"/>
        <item h="1" x="441"/>
        <item h="1" x="13"/>
        <item h="1" x="175"/>
        <item t="default"/>
      </items>
    </pivotField>
    <pivotField numFmtId="165" showAll="0"/>
    <pivotField dataField="1" numFmtId="165" showAll="0"/>
    <pivotField numFmtId="165" showAll="0"/>
    <pivotField dataField="1" numFmtId="165" showAll="0">
      <items count="551">
        <item x="42"/>
        <item x="165"/>
        <item x="188"/>
        <item x="357"/>
        <item x="50"/>
        <item x="30"/>
        <item x="441"/>
        <item x="462"/>
        <item x="259"/>
        <item x="457"/>
        <item x="538"/>
        <item x="295"/>
        <item x="543"/>
        <item x="94"/>
        <item x="396"/>
        <item x="172"/>
        <item x="85"/>
        <item x="248"/>
        <item x="198"/>
        <item x="412"/>
        <item x="345"/>
        <item x="359"/>
        <item x="212"/>
        <item x="29"/>
        <item x="476"/>
        <item x="432"/>
        <item x="53"/>
        <item x="414"/>
        <item x="70"/>
        <item x="495"/>
        <item x="252"/>
        <item x="399"/>
        <item x="333"/>
        <item x="215"/>
        <item x="294"/>
        <item x="193"/>
        <item x="447"/>
        <item x="22"/>
        <item x="126"/>
        <item x="60"/>
        <item x="504"/>
        <item x="332"/>
        <item x="265"/>
        <item x="156"/>
        <item x="288"/>
        <item x="364"/>
        <item x="362"/>
        <item x="1"/>
        <item x="221"/>
        <item x="251"/>
        <item x="314"/>
        <item x="61"/>
        <item x="350"/>
        <item x="426"/>
        <item x="320"/>
        <item x="135"/>
        <item x="463"/>
        <item x="352"/>
        <item x="276"/>
        <item x="427"/>
        <item x="545"/>
        <item x="507"/>
        <item x="13"/>
        <item x="96"/>
        <item x="69"/>
        <item x="242"/>
        <item x="416"/>
        <item x="375"/>
        <item x="217"/>
        <item x="237"/>
        <item x="521"/>
        <item x="361"/>
        <item x="36"/>
        <item x="289"/>
        <item x="316"/>
        <item x="220"/>
        <item x="56"/>
        <item x="428"/>
        <item x="324"/>
        <item x="541"/>
        <item x="398"/>
        <item x="74"/>
        <item x="139"/>
        <item x="425"/>
        <item x="134"/>
        <item x="273"/>
        <item x="71"/>
        <item x="491"/>
        <item x="100"/>
        <item x="181"/>
        <item x="24"/>
        <item x="424"/>
        <item x="195"/>
        <item x="68"/>
        <item x="349"/>
        <item x="497"/>
        <item x="304"/>
        <item x="397"/>
        <item x="66"/>
        <item x="122"/>
        <item x="393"/>
        <item x="528"/>
        <item x="280"/>
        <item x="185"/>
        <item x="47"/>
        <item x="387"/>
        <item x="234"/>
        <item x="518"/>
        <item x="531"/>
        <item x="306"/>
        <item x="28"/>
        <item x="383"/>
        <item x="546"/>
        <item x="484"/>
        <item x="336"/>
        <item x="264"/>
        <item x="246"/>
        <item x="342"/>
        <item x="223"/>
        <item x="488"/>
        <item x="407"/>
        <item x="419"/>
        <item x="8"/>
        <item x="99"/>
        <item x="374"/>
        <item x="210"/>
        <item x="308"/>
        <item x="291"/>
        <item x="479"/>
        <item x="254"/>
        <item x="480"/>
        <item x="282"/>
        <item x="548"/>
        <item x="15"/>
        <item x="208"/>
        <item x="84"/>
        <item x="65"/>
        <item x="35"/>
        <item x="450"/>
        <item x="341"/>
        <item x="2"/>
        <item x="127"/>
        <item x="144"/>
        <item x="502"/>
        <item x="167"/>
        <item x="57"/>
        <item x="481"/>
        <item x="89"/>
        <item x="445"/>
        <item x="318"/>
        <item x="81"/>
        <item x="444"/>
        <item x="469"/>
        <item x="382"/>
        <item x="80"/>
        <item x="169"/>
        <item x="51"/>
        <item x="231"/>
        <item x="368"/>
        <item x="356"/>
        <item x="466"/>
        <item x="263"/>
        <item x="161"/>
        <item x="493"/>
        <item x="27"/>
        <item x="452"/>
        <item x="395"/>
        <item x="411"/>
        <item x="440"/>
        <item x="499"/>
        <item x="117"/>
        <item x="67"/>
        <item x="261"/>
        <item x="346"/>
        <item x="12"/>
        <item x="453"/>
        <item x="494"/>
        <item x="500"/>
        <item x="354"/>
        <item x="170"/>
        <item x="331"/>
        <item x="511"/>
        <item x="90"/>
        <item x="116"/>
        <item x="370"/>
        <item x="194"/>
        <item x="200"/>
        <item x="339"/>
        <item x="32"/>
        <item x="62"/>
        <item x="530"/>
        <item x="225"/>
        <item x="173"/>
        <item x="404"/>
        <item x="174"/>
        <item x="303"/>
        <item x="534"/>
        <item x="73"/>
        <item x="164"/>
        <item x="151"/>
        <item x="16"/>
        <item x="293"/>
        <item x="256"/>
        <item x="271"/>
        <item x="260"/>
        <item x="157"/>
        <item x="436"/>
        <item x="460"/>
        <item x="415"/>
        <item x="124"/>
        <item x="421"/>
        <item x="381"/>
        <item x="328"/>
        <item x="162"/>
        <item x="366"/>
        <item x="78"/>
        <item x="258"/>
        <item x="446"/>
        <item x="394"/>
        <item x="17"/>
        <item x="10"/>
        <item x="11"/>
        <item x="191"/>
        <item x="140"/>
        <item x="250"/>
        <item x="41"/>
        <item x="334"/>
        <item x="312"/>
        <item x="471"/>
        <item x="38"/>
        <item x="7"/>
        <item x="417"/>
        <item x="163"/>
        <item x="247"/>
        <item x="373"/>
        <item x="145"/>
        <item x="123"/>
        <item x="378"/>
        <item x="503"/>
        <item x="189"/>
        <item x="459"/>
        <item x="176"/>
        <item x="72"/>
        <item x="141"/>
        <item x="184"/>
        <item x="3"/>
        <item x="204"/>
        <item x="55"/>
        <item x="199"/>
        <item x="402"/>
        <item x="48"/>
        <item x="58"/>
        <item x="102"/>
        <item x="313"/>
        <item x="517"/>
        <item x="112"/>
        <item x="278"/>
        <item x="232"/>
        <item x="431"/>
        <item x="401"/>
        <item x="132"/>
        <item x="489"/>
        <item x="137"/>
        <item x="510"/>
        <item x="385"/>
        <item x="326"/>
        <item x="498"/>
        <item x="255"/>
        <item x="537"/>
        <item x="262"/>
        <item x="348"/>
        <item x="277"/>
        <item x="512"/>
        <item x="272"/>
        <item x="505"/>
        <item x="154"/>
        <item x="405"/>
        <item x="406"/>
        <item x="281"/>
        <item x="360"/>
        <item x="103"/>
        <item x="400"/>
        <item x="317"/>
        <item x="54"/>
        <item x="533"/>
        <item x="540"/>
        <item x="544"/>
        <item x="310"/>
        <item x="233"/>
        <item x="87"/>
        <item x="300"/>
        <item x="448"/>
        <item x="241"/>
        <item x="244"/>
        <item x="371"/>
        <item x="516"/>
        <item x="190"/>
        <item x="209"/>
        <item x="456"/>
        <item x="93"/>
        <item x="515"/>
        <item x="430"/>
        <item x="88"/>
        <item x="149"/>
        <item x="437"/>
        <item x="501"/>
        <item x="18"/>
        <item x="410"/>
        <item x="458"/>
        <item x="296"/>
        <item x="351"/>
        <item x="542"/>
        <item x="159"/>
        <item x="138"/>
        <item x="536"/>
        <item x="526"/>
        <item x="182"/>
        <item x="465"/>
        <item x="532"/>
        <item x="509"/>
        <item x="285"/>
        <item x="119"/>
        <item x="82"/>
        <item x="213"/>
        <item x="408"/>
        <item x="474"/>
        <item x="455"/>
        <item x="46"/>
        <item x="19"/>
        <item x="386"/>
        <item x="118"/>
        <item x="110"/>
        <item x="483"/>
        <item x="196"/>
        <item x="439"/>
        <item x="513"/>
        <item x="226"/>
        <item x="230"/>
        <item x="353"/>
        <item x="290"/>
        <item x="147"/>
        <item x="142"/>
        <item x="311"/>
        <item x="442"/>
        <item x="435"/>
        <item x="175"/>
        <item x="125"/>
        <item x="344"/>
        <item x="121"/>
        <item x="388"/>
        <item x="224"/>
        <item x="477"/>
        <item x="98"/>
        <item x="183"/>
        <item x="177"/>
        <item x="59"/>
        <item x="49"/>
        <item x="524"/>
        <item x="340"/>
        <item x="44"/>
        <item x="107"/>
        <item x="379"/>
        <item x="297"/>
        <item x="9"/>
        <item x="358"/>
        <item x="52"/>
        <item x="239"/>
        <item x="91"/>
        <item x="257"/>
        <item x="75"/>
        <item x="287"/>
        <item x="153"/>
        <item x="315"/>
        <item x="43"/>
        <item x="527"/>
        <item x="307"/>
        <item x="482"/>
        <item x="309"/>
        <item x="236"/>
        <item x="243"/>
        <item x="203"/>
        <item x="392"/>
        <item x="129"/>
        <item x="275"/>
        <item x="197"/>
        <item x="238"/>
        <item x="449"/>
        <item x="468"/>
        <item x="115"/>
        <item x="434"/>
        <item x="525"/>
        <item x="166"/>
        <item x="472"/>
        <item x="478"/>
        <item x="152"/>
        <item x="133"/>
        <item x="403"/>
        <item x="438"/>
        <item x="423"/>
        <item x="34"/>
        <item x="202"/>
        <item x="179"/>
        <item x="274"/>
        <item x="31"/>
        <item x="92"/>
        <item x="506"/>
        <item x="343"/>
        <item x="279"/>
        <item x="106"/>
        <item x="283"/>
        <item x="384"/>
        <item x="192"/>
        <item x="4"/>
        <item x="219"/>
        <item x="131"/>
        <item x="539"/>
        <item x="207"/>
        <item x="245"/>
        <item x="490"/>
        <item x="390"/>
        <item x="101"/>
        <item x="535"/>
        <item x="522"/>
        <item x="111"/>
        <item x="45"/>
        <item x="514"/>
        <item x="253"/>
        <item x="0"/>
        <item x="120"/>
        <item x="409"/>
        <item x="105"/>
        <item x="187"/>
        <item x="461"/>
        <item x="222"/>
        <item x="249"/>
        <item x="130"/>
        <item x="338"/>
        <item x="377"/>
        <item x="451"/>
        <item x="443"/>
        <item x="496"/>
        <item x="322"/>
        <item x="418"/>
        <item x="376"/>
        <item x="79"/>
        <item x="367"/>
        <item x="369"/>
        <item x="305"/>
        <item x="160"/>
        <item x="420"/>
        <item x="227"/>
        <item x="422"/>
        <item x="211"/>
        <item x="178"/>
        <item x="14"/>
        <item x="21"/>
        <item x="270"/>
        <item x="168"/>
        <item x="148"/>
        <item x="39"/>
        <item x="40"/>
        <item x="6"/>
        <item x="325"/>
        <item x="519"/>
        <item x="454"/>
        <item x="520"/>
        <item x="228"/>
        <item x="330"/>
        <item x="95"/>
        <item x="5"/>
        <item x="335"/>
        <item x="104"/>
        <item x="355"/>
        <item x="365"/>
        <item x="523"/>
        <item x="347"/>
        <item x="470"/>
        <item x="319"/>
        <item x="321"/>
        <item x="97"/>
        <item x="25"/>
        <item x="284"/>
        <item x="108"/>
        <item x="26"/>
        <item x="363"/>
        <item x="77"/>
        <item x="218"/>
        <item x="240"/>
        <item x="186"/>
        <item x="337"/>
        <item x="329"/>
        <item x="485"/>
        <item x="158"/>
        <item x="83"/>
        <item x="301"/>
        <item x="508"/>
        <item x="136"/>
        <item x="86"/>
        <item x="492"/>
        <item x="63"/>
        <item x="269"/>
        <item x="529"/>
        <item x="299"/>
        <item x="549"/>
        <item x="292"/>
        <item x="433"/>
        <item x="143"/>
        <item x="327"/>
        <item x="180"/>
        <item x="113"/>
        <item x="205"/>
        <item x="128"/>
        <item x="372"/>
        <item x="380"/>
        <item x="267"/>
        <item x="323"/>
        <item x="33"/>
        <item x="429"/>
        <item x="37"/>
        <item x="114"/>
        <item x="298"/>
        <item x="547"/>
        <item x="214"/>
        <item x="235"/>
        <item x="201"/>
        <item x="475"/>
        <item x="216"/>
        <item x="229"/>
        <item x="413"/>
        <item x="302"/>
        <item x="467"/>
        <item x="171"/>
        <item x="464"/>
        <item x="20"/>
        <item x="146"/>
        <item x="268"/>
        <item x="206"/>
        <item x="155"/>
        <item x="391"/>
        <item x="486"/>
        <item x="389"/>
        <item x="266"/>
        <item x="473"/>
        <item x="487"/>
        <item x="64"/>
        <item x="286"/>
        <item x="23"/>
        <item x="109"/>
        <item x="150"/>
        <item x="76"/>
        <item t="default"/>
      </items>
    </pivotField>
    <pivotField numFmtId="10" showAll="0">
      <items count="551">
        <item x="124"/>
        <item x="397"/>
        <item x="417"/>
        <item x="234"/>
        <item x="410"/>
        <item x="545"/>
        <item x="12"/>
        <item x="165"/>
        <item x="94"/>
        <item x="321"/>
        <item x="178"/>
        <item x="525"/>
        <item x="361"/>
        <item x="405"/>
        <item x="449"/>
        <item x="395"/>
        <item x="50"/>
        <item x="500"/>
        <item x="16"/>
        <item x="407"/>
        <item x="265"/>
        <item x="93"/>
        <item x="141"/>
        <item x="494"/>
        <item x="345"/>
        <item x="434"/>
        <item x="425"/>
        <item x="320"/>
        <item x="511"/>
        <item x="135"/>
        <item x="200"/>
        <item x="432"/>
        <item x="288"/>
        <item x="263"/>
        <item x="272"/>
        <item x="374"/>
        <item x="74"/>
        <item x="291"/>
        <item x="172"/>
        <item x="161"/>
        <item x="222"/>
        <item x="508"/>
        <item x="362"/>
        <item x="370"/>
        <item x="30"/>
        <item x="259"/>
        <item x="70"/>
        <item x="518"/>
        <item x="195"/>
        <item x="493"/>
        <item x="471"/>
        <item x="162"/>
        <item x="231"/>
        <item x="123"/>
        <item x="350"/>
        <item x="315"/>
        <item x="411"/>
        <item x="57"/>
        <item x="92"/>
        <item x="221"/>
        <item x="336"/>
        <item x="502"/>
        <item x="260"/>
        <item x="517"/>
        <item x="193"/>
        <item x="446"/>
        <item x="270"/>
        <item x="48"/>
        <item x="340"/>
        <item x="248"/>
        <item x="462"/>
        <item x="15"/>
        <item x="105"/>
        <item x="97"/>
        <item x="375"/>
        <item x="208"/>
        <item x="61"/>
        <item x="250"/>
        <item x="399"/>
        <item x="457"/>
        <item x="386"/>
        <item x="147"/>
        <item x="381"/>
        <item x="528"/>
        <item x="42"/>
        <item x="341"/>
        <item x="41"/>
        <item x="36"/>
        <item x="326"/>
        <item x="87"/>
        <item x="521"/>
        <item x="436"/>
        <item x="414"/>
        <item x="9"/>
        <item x="377"/>
        <item x="220"/>
        <item x="280"/>
        <item x="256"/>
        <item x="530"/>
        <item x="205"/>
        <item x="19"/>
        <item x="439"/>
        <item x="541"/>
        <item x="354"/>
        <item x="441"/>
        <item x="202"/>
        <item x="227"/>
        <item x="139"/>
        <item x="318"/>
        <item x="108"/>
        <item x="7"/>
        <item x="538"/>
        <item x="215"/>
        <item x="159"/>
        <item x="293"/>
        <item x="241"/>
        <item x="44"/>
        <item x="217"/>
        <item x="311"/>
        <item x="314"/>
        <item x="416"/>
        <item x="151"/>
        <item x="131"/>
        <item x="52"/>
        <item x="419"/>
        <item x="423"/>
        <item x="261"/>
        <item x="99"/>
        <item x="367"/>
        <item x="495"/>
        <item x="333"/>
        <item x="506"/>
        <item x="366"/>
        <item x="179"/>
        <item x="13"/>
        <item x="481"/>
        <item x="53"/>
        <item x="258"/>
        <item x="289"/>
        <item x="32"/>
        <item x="282"/>
        <item x="515"/>
        <item x="110"/>
        <item x="295"/>
        <item x="313"/>
        <item x="56"/>
        <item x="401"/>
        <item x="98"/>
        <item x="523"/>
        <item x="257"/>
        <item x="184"/>
        <item x="360"/>
        <item x="483"/>
        <item x="68"/>
        <item x="329"/>
        <item x="469"/>
        <item x="378"/>
        <item x="440"/>
        <item x="167"/>
        <item x="252"/>
        <item x="137"/>
        <item x="90"/>
        <item x="304"/>
        <item x="352"/>
        <item x="359"/>
        <item x="324"/>
        <item x="516"/>
        <item x="408"/>
        <item x="125"/>
        <item x="160"/>
        <item x="332"/>
        <item x="103"/>
        <item x="524"/>
        <item x="1"/>
        <item x="317"/>
        <item x="65"/>
        <item x="117"/>
        <item x="37"/>
        <item x="213"/>
        <item x="465"/>
        <item x="421"/>
        <item x="62"/>
        <item x="71"/>
        <item x="27"/>
        <item x="456"/>
        <item x="278"/>
        <item x="349"/>
        <item x="249"/>
        <item x="82"/>
        <item x="383"/>
        <item x="438"/>
        <item x="404"/>
        <item x="394"/>
        <item x="236"/>
        <item x="185"/>
        <item x="387"/>
        <item x="426"/>
        <item x="400"/>
        <item x="312"/>
        <item x="158"/>
        <item x="77"/>
        <item x="534"/>
        <item x="10"/>
        <item x="348"/>
        <item x="190"/>
        <item x="509"/>
        <item x="183"/>
        <item x="372"/>
        <item x="357"/>
        <item x="402"/>
        <item x="3"/>
        <item x="223"/>
        <item x="296"/>
        <item x="35"/>
        <item x="478"/>
        <item x="152"/>
        <item x="133"/>
        <item x="28"/>
        <item x="113"/>
        <item x="298"/>
        <item x="88"/>
        <item x="546"/>
        <item x="277"/>
        <item x="504"/>
        <item x="129"/>
        <item x="156"/>
        <item x="136"/>
        <item x="540"/>
        <item x="38"/>
        <item x="543"/>
        <item x="67"/>
        <item x="120"/>
        <item x="303"/>
        <item x="351"/>
        <item x="24"/>
        <item x="211"/>
        <item x="365"/>
        <item x="232"/>
        <item x="115"/>
        <item x="526"/>
        <item x="463"/>
        <item x="472"/>
        <item x="392"/>
        <item x="356"/>
        <item x="422"/>
        <item x="415"/>
        <item x="22"/>
        <item x="491"/>
        <item x="122"/>
        <item x="393"/>
        <item x="188"/>
        <item x="390"/>
        <item x="224"/>
        <item x="498"/>
        <item x="73"/>
        <item x="143"/>
        <item x="535"/>
        <item x="243"/>
        <item x="163"/>
        <item x="104"/>
        <item x="503"/>
        <item x="444"/>
        <item x="505"/>
        <item x="342"/>
        <item x="198"/>
        <item x="459"/>
        <item x="368"/>
        <item x="484"/>
        <item x="343"/>
        <item x="460"/>
        <item x="11"/>
        <item x="203"/>
        <item x="398"/>
        <item x="468"/>
        <item x="29"/>
        <item x="435"/>
        <item x="380"/>
        <item x="305"/>
        <item x="247"/>
        <item x="279"/>
        <item x="470"/>
        <item x="476"/>
        <item x="379"/>
        <item x="199"/>
        <item x="339"/>
        <item x="126"/>
        <item x="91"/>
        <item x="424"/>
        <item x="31"/>
        <item x="214"/>
        <item x="146"/>
        <item x="485"/>
        <item x="54"/>
        <item x="192"/>
        <item x="212"/>
        <item x="100"/>
        <item x="60"/>
        <item x="194"/>
        <item x="273"/>
        <item x="219"/>
        <item x="396"/>
        <item x="66"/>
        <item x="531"/>
        <item x="384"/>
        <item x="330"/>
        <item x="210"/>
        <item x="6"/>
        <item x="218"/>
        <item x="209"/>
        <item x="363"/>
        <item x="428"/>
        <item x="536"/>
        <item x="433"/>
        <item x="486"/>
        <item x="501"/>
        <item x="114"/>
        <item x="8"/>
        <item x="20"/>
        <item x="118"/>
        <item x="18"/>
        <item x="371"/>
        <item x="548"/>
        <item x="140"/>
        <item x="447"/>
        <item x="334"/>
        <item x="490"/>
        <item x="173"/>
        <item x="75"/>
        <item x="327"/>
        <item x="204"/>
        <item x="353"/>
        <item x="519"/>
        <item x="206"/>
        <item x="266"/>
        <item x="253"/>
        <item x="520"/>
        <item x="233"/>
        <item x="307"/>
        <item x="39"/>
        <item x="127"/>
        <item x="418"/>
        <item x="325"/>
        <item x="255"/>
        <item x="216"/>
        <item x="262"/>
        <item x="33"/>
        <item x="420"/>
        <item x="79"/>
        <item x="276"/>
        <item x="134"/>
        <item x="467"/>
        <item x="246"/>
        <item x="338"/>
        <item x="514"/>
        <item x="281"/>
        <item x="301"/>
        <item x="331"/>
        <item x="461"/>
        <item x="69"/>
        <item x="107"/>
        <item x="489"/>
        <item x="497"/>
        <item x="510"/>
        <item x="292"/>
        <item x="26"/>
        <item x="83"/>
        <item x="406"/>
        <item x="537"/>
        <item x="274"/>
        <item x="364"/>
        <item x="453"/>
        <item x="34"/>
        <item x="112"/>
        <item x="63"/>
        <item x="254"/>
        <item x="488"/>
        <item x="14"/>
        <item x="475"/>
        <item x="264"/>
        <item x="496"/>
        <item x="81"/>
        <item x="46"/>
        <item x="529"/>
        <item x="429"/>
        <item x="347"/>
        <item x="300"/>
        <item x="197"/>
        <item x="539"/>
        <item x="358"/>
        <item x="72"/>
        <item x="64"/>
        <item x="268"/>
        <item x="285"/>
        <item x="102"/>
        <item x="544"/>
        <item x="89"/>
        <item x="47"/>
        <item x="403"/>
        <item x="111"/>
        <item x="251"/>
        <item x="138"/>
        <item x="244"/>
        <item x="85"/>
        <item x="337"/>
        <item x="464"/>
        <item x="174"/>
        <item x="373"/>
        <item x="153"/>
        <item x="191"/>
        <item x="451"/>
        <item x="78"/>
        <item x="43"/>
        <item x="55"/>
        <item x="474"/>
        <item x="180"/>
        <item x="455"/>
        <item x="225"/>
        <item x="4"/>
        <item x="492"/>
        <item x="316"/>
        <item x="2"/>
        <item x="286"/>
        <item x="409"/>
        <item x="164"/>
        <item x="430"/>
        <item x="427"/>
        <item x="479"/>
        <item x="130"/>
        <item x="240"/>
        <item x="309"/>
        <item x="238"/>
        <item x="186"/>
        <item x="299"/>
        <item x="344"/>
        <item x="458"/>
        <item x="466"/>
        <item x="532"/>
        <item x="84"/>
        <item x="121"/>
        <item x="237"/>
        <item x="40"/>
        <item x="388"/>
        <item x="308"/>
        <item x="454"/>
        <item x="106"/>
        <item x="431"/>
        <item x="109"/>
        <item x="145"/>
        <item x="25"/>
        <item x="284"/>
        <item x="45"/>
        <item x="119"/>
        <item x="547"/>
        <item x="290"/>
        <item x="228"/>
        <item x="267"/>
        <item x="391"/>
        <item x="116"/>
        <item x="487"/>
        <item x="51"/>
        <item x="522"/>
        <item x="346"/>
        <item x="168"/>
        <item x="5"/>
        <item x="86"/>
        <item x="226"/>
        <item x="480"/>
        <item x="437"/>
        <item x="49"/>
        <item x="445"/>
        <item x="448"/>
        <item x="283"/>
        <item x="176"/>
        <item x="150"/>
        <item x="166"/>
        <item x="310"/>
        <item x="128"/>
        <item x="242"/>
        <item x="499"/>
        <item x="181"/>
        <item x="207"/>
        <item x="477"/>
        <item x="175"/>
        <item x="155"/>
        <item x="157"/>
        <item x="239"/>
        <item x="23"/>
        <item x="322"/>
        <item x="450"/>
        <item x="385"/>
        <item x="154"/>
        <item x="95"/>
        <item x="201"/>
        <item x="177"/>
        <item x="413"/>
        <item x="294"/>
        <item x="149"/>
        <item x="21"/>
        <item x="542"/>
        <item x="452"/>
        <item x="0"/>
        <item x="382"/>
        <item x="170"/>
        <item x="96"/>
        <item x="169"/>
        <item x="189"/>
        <item x="76"/>
        <item x="512"/>
        <item x="142"/>
        <item x="269"/>
        <item x="376"/>
        <item x="59"/>
        <item x="148"/>
        <item x="245"/>
        <item x="443"/>
        <item x="287"/>
        <item x="323"/>
        <item x="549"/>
        <item x="369"/>
        <item x="230"/>
        <item x="306"/>
        <item x="389"/>
        <item x="533"/>
        <item x="196"/>
        <item x="335"/>
        <item x="297"/>
        <item x="482"/>
        <item x="473"/>
        <item x="235"/>
        <item x="132"/>
        <item x="442"/>
        <item x="171"/>
        <item x="271"/>
        <item x="17"/>
        <item x="58"/>
        <item x="187"/>
        <item x="319"/>
        <item x="144"/>
        <item x="412"/>
        <item x="328"/>
        <item x="101"/>
        <item x="507"/>
        <item x="80"/>
        <item x="527"/>
        <item x="229"/>
        <item x="513"/>
        <item x="275"/>
        <item x="302"/>
        <item x="355"/>
        <item x="182"/>
        <item t="default"/>
      </items>
    </pivotField>
    <pivotField showAll="0" defaultSubtotal="0"/>
    <pivotField showAll="0" defaultSubtotal="0"/>
    <pivotField showAll="0" defaultSubtotal="0">
      <items count="7">
        <item x="0"/>
        <item x="1"/>
        <item x="2"/>
        <item x="3"/>
        <item x="4"/>
        <item x="5"/>
        <item x="6"/>
      </items>
    </pivotField>
  </pivotFields>
  <rowFields count="1">
    <field x="2"/>
  </rowFields>
  <rowItems count="9">
    <i>
      <x v="2"/>
    </i>
    <i>
      <x v="3"/>
    </i>
    <i>
      <x v="4"/>
    </i>
    <i>
      <x v="5"/>
    </i>
    <i>
      <x v="6"/>
    </i>
    <i>
      <x v="7"/>
    </i>
    <i>
      <x v="8"/>
    </i>
    <i>
      <x v="9"/>
    </i>
    <i t="grand">
      <x/>
    </i>
  </rowItems>
  <colFields count="1">
    <field x="-2"/>
  </colFields>
  <colItems count="2">
    <i>
      <x/>
    </i>
    <i i="1">
      <x v="1"/>
    </i>
  </colItems>
  <dataFields count="2">
    <dataField name="Sum of Total Invested " fld="6" baseField="0" baseItem="0" numFmtId="165"/>
    <dataField name="Sum of Current Value " fld="8" baseField="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F7A78E-3C62-4518-9BAE-3FA4C36FDB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B22" firstHeaderRow="1" firstDataRow="1" firstDataCol="1"/>
  <pivotFields count="13">
    <pivotField showAll="0" measureFilter="1">
      <items count="11">
        <item x="8"/>
        <item x="0"/>
        <item x="6"/>
        <item x="2"/>
        <item x="9"/>
        <item x="5"/>
        <item x="7"/>
        <item x="1"/>
        <item x="4"/>
        <item x="3"/>
        <item t="default"/>
      </items>
    </pivotField>
    <pivotField axis="axisRow" showAll="0">
      <items count="6">
        <item x="3"/>
        <item x="4"/>
        <item x="1"/>
        <item x="2"/>
        <item x="0"/>
        <item t="default"/>
      </items>
    </pivotField>
    <pivotField showAll="0">
      <items count="11">
        <item h="1" x="8"/>
        <item h="1" x="4"/>
        <item x="0"/>
        <item x="2"/>
        <item x="7"/>
        <item x="6"/>
        <item x="1"/>
        <item x="9"/>
        <item x="5"/>
        <item x="3"/>
        <item t="default"/>
      </items>
    </pivotField>
    <pivotField showAll="0">
      <items count="7">
        <item h="1" x="3"/>
        <item h="1" x="5"/>
        <item h="1" x="0"/>
        <item x="2"/>
        <item h="1" x="1"/>
        <item h="1" x="4"/>
        <item t="default"/>
      </items>
    </pivotField>
    <pivotField numFmtId="164" showAll="0">
      <items count="475">
        <item x="275"/>
        <item x="312"/>
        <item x="158"/>
        <item x="234"/>
        <item x="267"/>
        <item x="151"/>
        <item x="38"/>
        <item x="245"/>
        <item x="389"/>
        <item x="345"/>
        <item x="188"/>
        <item x="50"/>
        <item x="167"/>
        <item x="292"/>
        <item x="468"/>
        <item x="471"/>
        <item x="439"/>
        <item x="192"/>
        <item x="347"/>
        <item x="205"/>
        <item x="433"/>
        <item x="171"/>
        <item x="390"/>
        <item x="44"/>
        <item x="262"/>
        <item x="293"/>
        <item x="412"/>
        <item x="164"/>
        <item x="284"/>
        <item x="472"/>
        <item x="458"/>
        <item x="274"/>
        <item x="140"/>
        <item x="473"/>
        <item x="126"/>
        <item x="100"/>
        <item x="196"/>
        <item x="265"/>
        <item x="28"/>
        <item x="61"/>
        <item x="212"/>
        <item x="136"/>
        <item x="35"/>
        <item x="19"/>
        <item x="187"/>
        <item x="105"/>
        <item x="335"/>
        <item x="418"/>
        <item x="94"/>
        <item x="408"/>
        <item x="79"/>
        <item x="400"/>
        <item x="452"/>
        <item x="206"/>
        <item x="138"/>
        <item x="12"/>
        <item x="308"/>
        <item x="436"/>
        <item x="261"/>
        <item x="346"/>
        <item x="129"/>
        <item x="272"/>
        <item x="30"/>
        <item x="294"/>
        <item x="341"/>
        <item x="127"/>
        <item x="132"/>
        <item x="334"/>
        <item x="428"/>
        <item x="198"/>
        <item x="427"/>
        <item x="216"/>
        <item x="54"/>
        <item x="20"/>
        <item x="344"/>
        <item x="8"/>
        <item x="193"/>
        <item x="118"/>
        <item x="204"/>
        <item x="295"/>
        <item x="123"/>
        <item x="23"/>
        <item x="264"/>
        <item x="414"/>
        <item x="183"/>
        <item x="425"/>
        <item x="93"/>
        <item x="364"/>
        <item x="165"/>
        <item x="116"/>
        <item x="190"/>
        <item x="333"/>
        <item x="76"/>
        <item x="450"/>
        <item x="271"/>
        <item x="381"/>
        <item x="459"/>
        <item x="229"/>
        <item x="141"/>
        <item x="24"/>
        <item x="394"/>
        <item x="246"/>
        <item x="186"/>
        <item x="104"/>
        <item x="376"/>
        <item x="313"/>
        <item x="278"/>
        <item x="336"/>
        <item x="316"/>
        <item x="296"/>
        <item x="417"/>
        <item x="437"/>
        <item x="466"/>
        <item x="252"/>
        <item x="413"/>
        <item x="25"/>
        <item x="200"/>
        <item x="348"/>
        <item x="453"/>
        <item x="150"/>
        <item x="134"/>
        <item x="244"/>
        <item x="107"/>
        <item x="327"/>
        <item x="423"/>
        <item x="260"/>
        <item x="201"/>
        <item x="63"/>
        <item x="350"/>
        <item x="131"/>
        <item x="365"/>
        <item x="263"/>
        <item x="208"/>
        <item x="0"/>
        <item x="243"/>
        <item x="4"/>
        <item x="139"/>
        <item x="152"/>
        <item x="96"/>
        <item x="300"/>
        <item x="203"/>
        <item x="398"/>
        <item x="217"/>
        <item x="248"/>
        <item x="9"/>
        <item x="31"/>
        <item x="386"/>
        <item x="440"/>
        <item x="343"/>
        <item x="251"/>
        <item x="14"/>
        <item x="144"/>
        <item x="297"/>
        <item x="280"/>
        <item x="106"/>
        <item x="5"/>
        <item x="137"/>
        <item x="402"/>
        <item x="184"/>
        <item x="46"/>
        <item x="133"/>
        <item x="463"/>
        <item x="108"/>
        <item x="287"/>
        <item x="419"/>
        <item x="431"/>
        <item x="42"/>
        <item x="147"/>
        <item x="128"/>
        <item x="86"/>
        <item x="11"/>
        <item x="454"/>
        <item x="349"/>
        <item x="318"/>
        <item x="224"/>
        <item x="369"/>
        <item x="143"/>
        <item x="156"/>
        <item x="380"/>
        <item x="209"/>
        <item x="325"/>
        <item x="317"/>
        <item x="73"/>
        <item x="103"/>
        <item x="213"/>
        <item x="321"/>
        <item x="222"/>
        <item x="32"/>
        <item x="177"/>
        <item x="422"/>
        <item x="41"/>
        <item x="384"/>
        <item x="69"/>
        <item x="416"/>
        <item x="358"/>
        <item x="367"/>
        <item x="70"/>
        <item x="159"/>
        <item x="309"/>
        <item x="298"/>
        <item x="391"/>
        <item x="180"/>
        <item x="109"/>
        <item x="266"/>
        <item x="16"/>
        <item x="101"/>
        <item x="362"/>
        <item x="125"/>
        <item x="340"/>
        <item x="122"/>
        <item x="455"/>
        <item x="15"/>
        <item x="426"/>
        <item x="338"/>
        <item x="1"/>
        <item x="467"/>
        <item x="215"/>
        <item x="331"/>
        <item x="39"/>
        <item x="220"/>
        <item x="225"/>
        <item x="330"/>
        <item x="396"/>
        <item x="410"/>
        <item x="228"/>
        <item x="310"/>
        <item x="148"/>
        <item x="424"/>
        <item x="434"/>
        <item x="27"/>
        <item x="415"/>
        <item x="221"/>
        <item x="7"/>
        <item x="328"/>
        <item x="64"/>
        <item x="421"/>
        <item x="149"/>
        <item x="60"/>
        <item x="178"/>
        <item x="181"/>
        <item x="385"/>
        <item x="43"/>
        <item x="121"/>
        <item x="66"/>
        <item x="403"/>
        <item x="52"/>
        <item x="83"/>
        <item x="56"/>
        <item x="363"/>
        <item x="383"/>
        <item x="88"/>
        <item x="33"/>
        <item x="87"/>
        <item x="218"/>
        <item x="387"/>
        <item x="359"/>
        <item x="429"/>
        <item x="432"/>
        <item x="305"/>
        <item x="174"/>
        <item x="26"/>
        <item x="446"/>
        <item x="375"/>
        <item x="219"/>
        <item x="223"/>
        <item x="145"/>
        <item x="301"/>
        <item x="113"/>
        <item x="102"/>
        <item x="306"/>
        <item x="368"/>
        <item x="239"/>
        <item x="124"/>
        <item x="72"/>
        <item x="82"/>
        <item x="405"/>
        <item x="6"/>
        <item x="233"/>
        <item x="254"/>
        <item x="189"/>
        <item x="162"/>
        <item x="311"/>
        <item x="353"/>
        <item x="371"/>
        <item x="153"/>
        <item x="194"/>
        <item x="447"/>
        <item x="247"/>
        <item x="173"/>
        <item x="451"/>
        <item x="146"/>
        <item x="211"/>
        <item x="288"/>
        <item x="395"/>
        <item x="182"/>
        <item x="273"/>
        <item x="469"/>
        <item x="401"/>
        <item x="37"/>
        <item x="34"/>
        <item x="430"/>
        <item x="379"/>
        <item x="237"/>
        <item x="257"/>
        <item x="242"/>
        <item x="71"/>
        <item x="166"/>
        <item x="299"/>
        <item x="99"/>
        <item x="84"/>
        <item x="22"/>
        <item x="326"/>
        <item x="92"/>
        <item x="112"/>
        <item x="235"/>
        <item x="114"/>
        <item x="160"/>
        <item x="283"/>
        <item x="357"/>
        <item x="119"/>
        <item x="90"/>
        <item x="57"/>
        <item x="372"/>
        <item x="286"/>
        <item x="75"/>
        <item x="232"/>
        <item x="214"/>
        <item x="464"/>
        <item x="329"/>
        <item x="438"/>
        <item x="120"/>
        <item x="461"/>
        <item x="18"/>
        <item x="91"/>
        <item x="55"/>
        <item x="89"/>
        <item x="397"/>
        <item x="382"/>
        <item x="115"/>
        <item x="77"/>
        <item x="277"/>
        <item x="65"/>
        <item x="303"/>
        <item x="172"/>
        <item x="456"/>
        <item x="207"/>
        <item x="85"/>
        <item x="304"/>
        <item x="324"/>
        <item x="197"/>
        <item x="445"/>
        <item x="442"/>
        <item x="399"/>
        <item x="291"/>
        <item x="361"/>
        <item x="21"/>
        <item x="179"/>
        <item x="256"/>
        <item x="315"/>
        <item x="351"/>
        <item x="3"/>
        <item x="157"/>
        <item x="393"/>
        <item x="337"/>
        <item x="240"/>
        <item x="195"/>
        <item x="238"/>
        <item x="250"/>
        <item x="170"/>
        <item x="352"/>
        <item x="404"/>
        <item x="29"/>
        <item x="370"/>
        <item x="163"/>
        <item x="135"/>
        <item x="236"/>
        <item x="420"/>
        <item x="444"/>
        <item x="285"/>
        <item x="355"/>
        <item x="230"/>
        <item x="470"/>
        <item x="388"/>
        <item x="409"/>
        <item x="199"/>
        <item x="161"/>
        <item x="226"/>
        <item x="169"/>
        <item x="342"/>
        <item x="268"/>
        <item x="411"/>
        <item x="36"/>
        <item x="465"/>
        <item x="449"/>
        <item x="48"/>
        <item x="58"/>
        <item x="10"/>
        <item x="78"/>
        <item x="269"/>
        <item x="332"/>
        <item x="392"/>
        <item x="231"/>
        <item x="62"/>
        <item x="191"/>
        <item x="448"/>
        <item x="154"/>
        <item x="185"/>
        <item x="59"/>
        <item x="360"/>
        <item x="462"/>
        <item x="97"/>
        <item x="45"/>
        <item x="241"/>
        <item x="457"/>
        <item x="98"/>
        <item x="323"/>
        <item x="290"/>
        <item x="110"/>
        <item x="155"/>
        <item x="319"/>
        <item x="276"/>
        <item x="282"/>
        <item x="117"/>
        <item x="407"/>
        <item x="249"/>
        <item x="130"/>
        <item x="443"/>
        <item x="142"/>
        <item x="53"/>
        <item x="111"/>
        <item x="378"/>
        <item x="279"/>
        <item x="354"/>
        <item x="307"/>
        <item x="253"/>
        <item x="168"/>
        <item x="210"/>
        <item x="81"/>
        <item x="47"/>
        <item x="255"/>
        <item x="314"/>
        <item x="176"/>
        <item x="74"/>
        <item x="270"/>
        <item x="67"/>
        <item x="356"/>
        <item x="49"/>
        <item x="202"/>
        <item x="339"/>
        <item x="289"/>
        <item x="2"/>
        <item x="302"/>
        <item x="68"/>
        <item x="259"/>
        <item x="460"/>
        <item x="366"/>
        <item x="322"/>
        <item x="435"/>
        <item x="373"/>
        <item x="17"/>
        <item x="227"/>
        <item x="258"/>
        <item x="377"/>
        <item x="95"/>
        <item x="80"/>
        <item x="320"/>
        <item x="51"/>
        <item x="374"/>
        <item x="281"/>
        <item x="40"/>
        <item x="406"/>
        <item x="441"/>
        <item x="13"/>
        <item x="175"/>
        <item t="default"/>
      </items>
    </pivotField>
    <pivotField numFmtId="165" showAll="0"/>
    <pivotField numFmtId="165" showAll="0"/>
    <pivotField numFmtId="165" showAll="0"/>
    <pivotField numFmtId="165" showAll="0"/>
    <pivotField dataField="1" numFmtId="10" showAll="0"/>
    <pivotField showAll="0" defaultSubtotal="0"/>
    <pivotField showAll="0" defaultSubtotal="0"/>
    <pivotField showAll="0" defaultSubtotal="0">
      <items count="7">
        <item x="0"/>
        <item x="1"/>
        <item x="2"/>
        <item x="3"/>
        <item x="4"/>
        <item x="5"/>
        <item x="6"/>
      </items>
    </pivotField>
  </pivotFields>
  <rowFields count="1">
    <field x="1"/>
  </rowFields>
  <rowItems count="6">
    <i>
      <x/>
    </i>
    <i>
      <x v="1"/>
    </i>
    <i>
      <x v="2"/>
    </i>
    <i>
      <x v="3"/>
    </i>
    <i>
      <x v="4"/>
    </i>
    <i t="grand">
      <x/>
    </i>
  </rowItems>
  <colItems count="1">
    <i/>
  </colItems>
  <dataFields count="1">
    <dataField name="Average of Returns " fld="9" subtotal="average" baseField="0" baseItem="0" numFmtId="1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7" format="13">
      <pivotArea type="data" outline="0" fieldPosition="0">
        <references count="2">
          <reference field="4294967294" count="1" selected="0">
            <x v="0"/>
          </reference>
          <reference field="1" count="1" selected="0">
            <x v="4"/>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41B907-82D5-497D-BF22-D9E15480C1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9" firstHeaderRow="1" firstDataRow="1" firstDataCol="1"/>
  <pivotFields count="13">
    <pivotField showAll="0">
      <items count="11">
        <item h="1" x="8"/>
        <item h="1" x="0"/>
        <item h="1" x="6"/>
        <item x="2"/>
        <item h="1" x="9"/>
        <item h="1" x="5"/>
        <item h="1" x="7"/>
        <item h="1" x="1"/>
        <item h="1" x="4"/>
        <item h="1" x="3"/>
        <item t="default"/>
      </items>
    </pivotField>
    <pivotField showAll="0">
      <items count="6">
        <item h="1" x="3"/>
        <item h="1" x="4"/>
        <item h="1" x="1"/>
        <item h="1" x="2"/>
        <item x="0"/>
        <item t="default"/>
      </items>
    </pivotField>
    <pivotField showAll="0">
      <items count="11">
        <item h="1" x="8"/>
        <item h="1" x="4"/>
        <item x="0"/>
        <item x="2"/>
        <item x="7"/>
        <item x="6"/>
        <item x="1"/>
        <item x="9"/>
        <item x="5"/>
        <item x="3"/>
        <item t="default"/>
      </items>
    </pivotField>
    <pivotField showAll="0">
      <items count="7">
        <item h="1" x="3"/>
        <item h="1" x="5"/>
        <item h="1" x="0"/>
        <item h="1" x="2"/>
        <item h="1" x="1"/>
        <item x="4"/>
        <item t="default"/>
      </items>
    </pivotField>
    <pivotField axis="axisRow" numFmtId="164" showAll="0">
      <items count="475">
        <item x="275"/>
        <item x="312"/>
        <item x="158"/>
        <item x="234"/>
        <item x="267"/>
        <item x="151"/>
        <item x="38"/>
        <item x="245"/>
        <item x="389"/>
        <item x="345"/>
        <item x="188"/>
        <item x="50"/>
        <item x="167"/>
        <item x="292"/>
        <item x="468"/>
        <item x="471"/>
        <item x="439"/>
        <item x="192"/>
        <item x="347"/>
        <item x="205"/>
        <item x="433"/>
        <item x="171"/>
        <item x="390"/>
        <item x="44"/>
        <item x="262"/>
        <item x="293"/>
        <item x="412"/>
        <item x="164"/>
        <item x="284"/>
        <item x="472"/>
        <item x="458"/>
        <item x="274"/>
        <item x="140"/>
        <item x="473"/>
        <item x="126"/>
        <item x="100"/>
        <item x="196"/>
        <item x="265"/>
        <item x="28"/>
        <item x="61"/>
        <item x="212"/>
        <item x="136"/>
        <item x="35"/>
        <item x="19"/>
        <item x="187"/>
        <item x="105"/>
        <item x="335"/>
        <item x="418"/>
        <item x="94"/>
        <item x="408"/>
        <item x="79"/>
        <item x="400"/>
        <item x="452"/>
        <item x="206"/>
        <item x="138"/>
        <item x="12"/>
        <item x="308"/>
        <item x="436"/>
        <item x="261"/>
        <item x="346"/>
        <item x="129"/>
        <item x="272"/>
        <item x="30"/>
        <item x="294"/>
        <item x="341"/>
        <item x="127"/>
        <item x="132"/>
        <item x="334"/>
        <item x="428"/>
        <item x="198"/>
        <item x="427"/>
        <item x="216"/>
        <item x="54"/>
        <item x="20"/>
        <item x="344"/>
        <item x="8"/>
        <item x="193"/>
        <item x="118"/>
        <item x="204"/>
        <item x="295"/>
        <item x="123"/>
        <item x="23"/>
        <item x="264"/>
        <item x="414"/>
        <item x="183"/>
        <item x="425"/>
        <item x="93"/>
        <item x="364"/>
        <item x="165"/>
        <item x="116"/>
        <item x="190"/>
        <item x="333"/>
        <item x="76"/>
        <item x="450"/>
        <item x="271"/>
        <item x="381"/>
        <item x="459"/>
        <item x="229"/>
        <item x="141"/>
        <item x="24"/>
        <item x="394"/>
        <item x="246"/>
        <item x="186"/>
        <item x="104"/>
        <item x="376"/>
        <item x="313"/>
        <item x="278"/>
        <item x="336"/>
        <item x="316"/>
        <item x="296"/>
        <item x="417"/>
        <item x="437"/>
        <item x="466"/>
        <item x="252"/>
        <item x="413"/>
        <item x="25"/>
        <item x="200"/>
        <item x="348"/>
        <item x="453"/>
        <item x="150"/>
        <item x="134"/>
        <item x="244"/>
        <item x="107"/>
        <item x="327"/>
        <item x="423"/>
        <item x="260"/>
        <item x="201"/>
        <item x="63"/>
        <item x="350"/>
        <item x="131"/>
        <item x="365"/>
        <item x="263"/>
        <item x="208"/>
        <item x="0"/>
        <item x="243"/>
        <item x="4"/>
        <item x="139"/>
        <item x="152"/>
        <item x="96"/>
        <item x="300"/>
        <item x="203"/>
        <item x="398"/>
        <item x="217"/>
        <item x="248"/>
        <item x="9"/>
        <item x="31"/>
        <item x="386"/>
        <item x="440"/>
        <item x="343"/>
        <item x="251"/>
        <item x="14"/>
        <item x="144"/>
        <item x="297"/>
        <item x="280"/>
        <item x="106"/>
        <item x="5"/>
        <item x="137"/>
        <item x="402"/>
        <item x="184"/>
        <item x="46"/>
        <item x="133"/>
        <item x="463"/>
        <item x="108"/>
        <item x="287"/>
        <item x="419"/>
        <item x="431"/>
        <item x="42"/>
        <item x="147"/>
        <item x="128"/>
        <item x="86"/>
        <item x="11"/>
        <item x="454"/>
        <item x="349"/>
        <item x="318"/>
        <item x="224"/>
        <item x="369"/>
        <item x="143"/>
        <item x="156"/>
        <item x="380"/>
        <item x="209"/>
        <item x="325"/>
        <item x="317"/>
        <item x="73"/>
        <item x="103"/>
        <item x="213"/>
        <item x="321"/>
        <item x="222"/>
        <item x="32"/>
        <item x="177"/>
        <item x="422"/>
        <item x="41"/>
        <item x="384"/>
        <item x="69"/>
        <item x="416"/>
        <item x="358"/>
        <item x="367"/>
        <item x="70"/>
        <item x="159"/>
        <item x="309"/>
        <item x="298"/>
        <item x="391"/>
        <item x="180"/>
        <item x="109"/>
        <item x="266"/>
        <item x="16"/>
        <item x="101"/>
        <item x="362"/>
        <item x="125"/>
        <item x="340"/>
        <item x="122"/>
        <item x="455"/>
        <item x="15"/>
        <item x="426"/>
        <item x="338"/>
        <item x="1"/>
        <item x="467"/>
        <item x="215"/>
        <item x="331"/>
        <item x="39"/>
        <item x="220"/>
        <item x="225"/>
        <item x="330"/>
        <item x="396"/>
        <item x="410"/>
        <item x="228"/>
        <item x="310"/>
        <item x="148"/>
        <item x="424"/>
        <item x="434"/>
        <item x="27"/>
        <item x="415"/>
        <item x="221"/>
        <item x="7"/>
        <item x="328"/>
        <item x="64"/>
        <item x="421"/>
        <item x="149"/>
        <item x="60"/>
        <item x="178"/>
        <item x="181"/>
        <item x="385"/>
        <item x="43"/>
        <item x="121"/>
        <item x="66"/>
        <item x="403"/>
        <item x="52"/>
        <item x="83"/>
        <item x="56"/>
        <item x="363"/>
        <item x="383"/>
        <item x="88"/>
        <item x="33"/>
        <item x="87"/>
        <item x="218"/>
        <item x="387"/>
        <item x="359"/>
        <item x="429"/>
        <item x="432"/>
        <item x="305"/>
        <item x="174"/>
        <item x="26"/>
        <item x="446"/>
        <item x="375"/>
        <item x="219"/>
        <item x="223"/>
        <item x="145"/>
        <item x="301"/>
        <item x="113"/>
        <item x="102"/>
        <item x="306"/>
        <item x="368"/>
        <item x="239"/>
        <item x="124"/>
        <item x="72"/>
        <item x="82"/>
        <item x="405"/>
        <item x="6"/>
        <item x="233"/>
        <item x="254"/>
        <item x="189"/>
        <item x="162"/>
        <item x="311"/>
        <item x="353"/>
        <item x="371"/>
        <item x="153"/>
        <item x="194"/>
        <item x="447"/>
        <item x="247"/>
        <item x="173"/>
        <item x="451"/>
        <item x="146"/>
        <item x="211"/>
        <item x="288"/>
        <item x="395"/>
        <item x="182"/>
        <item x="273"/>
        <item x="469"/>
        <item x="401"/>
        <item x="37"/>
        <item x="34"/>
        <item x="430"/>
        <item x="379"/>
        <item x="237"/>
        <item x="257"/>
        <item x="242"/>
        <item x="71"/>
        <item x="166"/>
        <item x="299"/>
        <item x="99"/>
        <item x="84"/>
        <item x="22"/>
        <item x="326"/>
        <item x="92"/>
        <item x="112"/>
        <item x="235"/>
        <item x="114"/>
        <item x="160"/>
        <item x="283"/>
        <item x="357"/>
        <item x="119"/>
        <item x="90"/>
        <item x="57"/>
        <item x="372"/>
        <item x="286"/>
        <item x="75"/>
        <item x="232"/>
        <item x="214"/>
        <item x="464"/>
        <item x="329"/>
        <item x="438"/>
        <item x="120"/>
        <item x="461"/>
        <item x="18"/>
        <item x="91"/>
        <item x="55"/>
        <item x="89"/>
        <item x="397"/>
        <item x="382"/>
        <item x="115"/>
        <item x="77"/>
        <item x="277"/>
        <item x="65"/>
        <item x="303"/>
        <item x="172"/>
        <item x="456"/>
        <item x="207"/>
        <item x="85"/>
        <item x="304"/>
        <item x="324"/>
        <item x="197"/>
        <item x="445"/>
        <item x="442"/>
        <item x="399"/>
        <item x="291"/>
        <item x="361"/>
        <item x="21"/>
        <item x="179"/>
        <item x="256"/>
        <item x="315"/>
        <item x="351"/>
        <item x="3"/>
        <item x="157"/>
        <item x="393"/>
        <item x="337"/>
        <item x="240"/>
        <item x="195"/>
        <item x="238"/>
        <item x="250"/>
        <item x="170"/>
        <item x="352"/>
        <item x="404"/>
        <item x="29"/>
        <item x="370"/>
        <item x="163"/>
        <item x="135"/>
        <item x="236"/>
        <item x="420"/>
        <item x="444"/>
        <item x="285"/>
        <item x="355"/>
        <item x="230"/>
        <item x="470"/>
        <item x="388"/>
        <item x="409"/>
        <item x="199"/>
        <item x="161"/>
        <item x="226"/>
        <item x="169"/>
        <item x="342"/>
        <item x="268"/>
        <item x="411"/>
        <item x="36"/>
        <item x="465"/>
        <item x="449"/>
        <item x="48"/>
        <item x="58"/>
        <item x="10"/>
        <item x="78"/>
        <item x="269"/>
        <item x="332"/>
        <item x="392"/>
        <item x="231"/>
        <item x="62"/>
        <item x="191"/>
        <item x="448"/>
        <item x="154"/>
        <item x="185"/>
        <item x="59"/>
        <item x="360"/>
        <item x="462"/>
        <item x="97"/>
        <item x="45"/>
        <item x="241"/>
        <item x="457"/>
        <item x="98"/>
        <item x="323"/>
        <item x="290"/>
        <item x="110"/>
        <item x="155"/>
        <item x="319"/>
        <item x="276"/>
        <item x="282"/>
        <item x="117"/>
        <item x="407"/>
        <item x="249"/>
        <item x="130"/>
        <item x="443"/>
        <item x="142"/>
        <item x="53"/>
        <item x="111"/>
        <item x="378"/>
        <item x="279"/>
        <item x="354"/>
        <item x="307"/>
        <item x="253"/>
        <item x="168"/>
        <item x="210"/>
        <item x="81"/>
        <item x="47"/>
        <item x="255"/>
        <item x="314"/>
        <item x="176"/>
        <item x="74"/>
        <item x="270"/>
        <item x="67"/>
        <item x="356"/>
        <item x="49"/>
        <item x="202"/>
        <item x="339"/>
        <item x="289"/>
        <item x="2"/>
        <item x="302"/>
        <item x="68"/>
        <item x="259"/>
        <item x="460"/>
        <item x="366"/>
        <item x="322"/>
        <item x="435"/>
        <item x="373"/>
        <item x="17"/>
        <item x="227"/>
        <item x="258"/>
        <item x="377"/>
        <item x="95"/>
        <item x="80"/>
        <item x="320"/>
        <item x="51"/>
        <item x="374"/>
        <item x="281"/>
        <item x="40"/>
        <item x="406"/>
        <item x="441"/>
        <item x="13"/>
        <item x="175"/>
        <item t="default"/>
      </items>
    </pivotField>
    <pivotField dataField="1" numFmtId="165" showAll="0">
      <items count="6">
        <item x="1"/>
        <item x="4"/>
        <item x="0"/>
        <item x="2"/>
        <item x="3"/>
        <item t="default"/>
      </items>
    </pivotField>
    <pivotField numFmtId="165" showAll="0"/>
    <pivotField numFmtId="165" showAll="0"/>
    <pivotField numFmtId="165" showAll="0"/>
    <pivotField numFmtId="10"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sortType="descending">
      <items count="8">
        <item sd="0" x="0"/>
        <item sd="0" x="1"/>
        <item sd="0" x="2"/>
        <item sd="0" x="3"/>
        <item sd="0" x="4"/>
        <item sd="0" x="5"/>
        <item sd="0" x="6"/>
        <item t="default" sd="0"/>
      </items>
      <autoSortScope>
        <pivotArea dataOnly="0" outline="0" fieldPosition="0">
          <references count="1">
            <reference field="4294967294" count="1" selected="0">
              <x v="0"/>
            </reference>
          </references>
        </pivotArea>
      </autoSortScope>
    </pivotField>
  </pivotFields>
  <rowFields count="4">
    <field x="12"/>
    <field x="11"/>
    <field x="10"/>
    <field x="4"/>
  </rowFields>
  <rowItems count="6">
    <i>
      <x v="3"/>
    </i>
    <i>
      <x v="2"/>
    </i>
    <i>
      <x v="4"/>
    </i>
    <i>
      <x v="1"/>
    </i>
    <i>
      <x v="5"/>
    </i>
    <i t="grand">
      <x/>
    </i>
  </rowItems>
  <colItems count="1">
    <i/>
  </colItems>
  <dataFields count="1">
    <dataField name="Sum of Monthly SIP " fld="5" baseField="0" baseItem="0" numFmtId="165"/>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4"/>
          </reference>
        </references>
      </pivotArea>
    </chartFormat>
    <chartFormat chart="0" format="3" series="1">
      <pivotArea type="data" outline="0" fieldPosition="0">
        <references count="2">
          <reference field="4294967294" count="1" selected="0">
            <x v="0"/>
          </reference>
          <reference field="12" count="1" selected="0">
            <x v="2"/>
          </reference>
        </references>
      </pivotArea>
    </chartFormat>
    <chartFormat chart="0" format="4" series="1">
      <pivotArea type="data" outline="0" fieldPosition="0">
        <references count="2">
          <reference field="4294967294" count="1" selected="0">
            <x v="0"/>
          </reference>
          <reference field="12" count="1" selected="0">
            <x v="3"/>
          </reference>
        </references>
      </pivotArea>
    </chartFormat>
    <chartFormat chart="24" format="6"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 chart="42" format="6"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D64E23-54FA-4316-992D-D37538BAA6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5:B22" firstHeaderRow="1" firstDataRow="1" firstDataCol="1"/>
  <pivotFields count="13">
    <pivotField showAll="0">
      <items count="11">
        <item x="8"/>
        <item x="0"/>
        <item x="6"/>
        <item x="2"/>
        <item x="9"/>
        <item x="5"/>
        <item x="7"/>
        <item x="1"/>
        <item x="4"/>
        <item x="3"/>
        <item t="default"/>
      </items>
    </pivotField>
    <pivotField showAll="0">
      <items count="6">
        <item h="1" x="3"/>
        <item h="1" x="4"/>
        <item x="1"/>
        <item h="1" x="2"/>
        <item h="1" x="0"/>
        <item t="default"/>
      </items>
    </pivotField>
    <pivotField showAll="0">
      <items count="11">
        <item h="1" x="8"/>
        <item h="1" x="4"/>
        <item x="0"/>
        <item x="2"/>
        <item x="7"/>
        <item x="6"/>
        <item x="1"/>
        <item x="9"/>
        <item x="5"/>
        <item x="3"/>
        <item t="default"/>
      </items>
    </pivotField>
    <pivotField axis="axisRow" showAll="0">
      <items count="7">
        <item x="3"/>
        <item x="5"/>
        <item x="0"/>
        <item x="2"/>
        <item x="1"/>
        <item x="4"/>
        <item t="default"/>
      </items>
    </pivotField>
    <pivotField numFmtId="164" showAll="0">
      <items count="475">
        <item x="275"/>
        <item x="312"/>
        <item x="158"/>
        <item x="234"/>
        <item x="267"/>
        <item x="151"/>
        <item x="38"/>
        <item x="245"/>
        <item x="389"/>
        <item x="345"/>
        <item x="188"/>
        <item x="50"/>
        <item x="167"/>
        <item x="292"/>
        <item x="468"/>
        <item x="471"/>
        <item x="439"/>
        <item x="192"/>
        <item x="347"/>
        <item x="205"/>
        <item x="433"/>
        <item x="171"/>
        <item x="390"/>
        <item x="44"/>
        <item x="262"/>
        <item x="293"/>
        <item x="412"/>
        <item x="164"/>
        <item x="284"/>
        <item x="472"/>
        <item x="458"/>
        <item x="274"/>
        <item x="140"/>
        <item x="473"/>
        <item x="126"/>
        <item x="100"/>
        <item x="196"/>
        <item x="265"/>
        <item x="28"/>
        <item x="61"/>
        <item x="212"/>
        <item x="136"/>
        <item x="35"/>
        <item x="19"/>
        <item x="187"/>
        <item x="105"/>
        <item x="335"/>
        <item x="418"/>
        <item x="94"/>
        <item x="408"/>
        <item x="79"/>
        <item x="400"/>
        <item x="452"/>
        <item x="206"/>
        <item x="138"/>
        <item x="12"/>
        <item x="308"/>
        <item x="436"/>
        <item x="261"/>
        <item x="346"/>
        <item x="129"/>
        <item x="272"/>
        <item x="30"/>
        <item x="294"/>
        <item x="341"/>
        <item x="127"/>
        <item x="132"/>
        <item x="334"/>
        <item x="428"/>
        <item x="198"/>
        <item x="427"/>
        <item x="216"/>
        <item x="54"/>
        <item x="20"/>
        <item x="344"/>
        <item x="8"/>
        <item x="193"/>
        <item x="118"/>
        <item x="204"/>
        <item x="295"/>
        <item x="123"/>
        <item x="23"/>
        <item x="264"/>
        <item x="414"/>
        <item x="183"/>
        <item x="425"/>
        <item x="93"/>
        <item x="364"/>
        <item x="165"/>
        <item x="116"/>
        <item x="190"/>
        <item x="333"/>
        <item x="76"/>
        <item x="450"/>
        <item x="271"/>
        <item x="381"/>
        <item x="459"/>
        <item x="229"/>
        <item x="141"/>
        <item x="24"/>
        <item x="394"/>
        <item x="246"/>
        <item x="186"/>
        <item x="104"/>
        <item x="376"/>
        <item x="313"/>
        <item x="278"/>
        <item x="336"/>
        <item x="316"/>
        <item x="296"/>
        <item x="417"/>
        <item x="437"/>
        <item x="466"/>
        <item x="252"/>
        <item x="413"/>
        <item x="25"/>
        <item x="200"/>
        <item x="348"/>
        <item x="453"/>
        <item x="150"/>
        <item x="134"/>
        <item x="244"/>
        <item x="107"/>
        <item x="327"/>
        <item x="423"/>
        <item x="260"/>
        <item x="201"/>
        <item x="63"/>
        <item x="350"/>
        <item x="131"/>
        <item x="365"/>
        <item x="263"/>
        <item x="208"/>
        <item x="0"/>
        <item x="243"/>
        <item x="4"/>
        <item x="139"/>
        <item x="152"/>
        <item x="96"/>
        <item x="300"/>
        <item x="203"/>
        <item x="398"/>
        <item x="217"/>
        <item x="248"/>
        <item x="9"/>
        <item x="31"/>
        <item x="386"/>
        <item x="440"/>
        <item x="343"/>
        <item x="251"/>
        <item x="14"/>
        <item x="144"/>
        <item x="297"/>
        <item x="280"/>
        <item x="106"/>
        <item x="5"/>
        <item x="137"/>
        <item x="402"/>
        <item x="184"/>
        <item x="46"/>
        <item x="133"/>
        <item x="463"/>
        <item x="108"/>
        <item x="287"/>
        <item x="419"/>
        <item x="431"/>
        <item x="42"/>
        <item x="147"/>
        <item x="128"/>
        <item x="86"/>
        <item x="11"/>
        <item x="454"/>
        <item x="349"/>
        <item x="318"/>
        <item x="224"/>
        <item x="369"/>
        <item x="143"/>
        <item x="156"/>
        <item x="380"/>
        <item x="209"/>
        <item x="325"/>
        <item x="317"/>
        <item x="73"/>
        <item x="103"/>
        <item x="213"/>
        <item x="321"/>
        <item x="222"/>
        <item x="32"/>
        <item x="177"/>
        <item x="422"/>
        <item x="41"/>
        <item x="384"/>
        <item x="69"/>
        <item x="416"/>
        <item x="358"/>
        <item x="367"/>
        <item x="70"/>
        <item x="159"/>
        <item x="309"/>
        <item x="298"/>
        <item x="391"/>
        <item x="180"/>
        <item x="109"/>
        <item x="266"/>
        <item x="16"/>
        <item x="101"/>
        <item x="362"/>
        <item x="125"/>
        <item x="340"/>
        <item x="122"/>
        <item x="455"/>
        <item x="15"/>
        <item x="426"/>
        <item x="338"/>
        <item x="1"/>
        <item x="467"/>
        <item x="215"/>
        <item x="331"/>
        <item x="39"/>
        <item x="220"/>
        <item x="225"/>
        <item x="330"/>
        <item x="396"/>
        <item x="410"/>
        <item x="228"/>
        <item x="310"/>
        <item x="148"/>
        <item x="424"/>
        <item x="434"/>
        <item x="27"/>
        <item x="415"/>
        <item x="221"/>
        <item x="7"/>
        <item x="328"/>
        <item x="64"/>
        <item x="421"/>
        <item x="149"/>
        <item x="60"/>
        <item x="178"/>
        <item x="181"/>
        <item x="385"/>
        <item x="43"/>
        <item x="121"/>
        <item x="66"/>
        <item x="403"/>
        <item x="52"/>
        <item x="83"/>
        <item x="56"/>
        <item x="363"/>
        <item x="383"/>
        <item x="88"/>
        <item x="33"/>
        <item x="87"/>
        <item x="218"/>
        <item x="387"/>
        <item x="359"/>
        <item x="429"/>
        <item x="432"/>
        <item x="305"/>
        <item x="174"/>
        <item x="26"/>
        <item x="446"/>
        <item x="375"/>
        <item x="219"/>
        <item x="223"/>
        <item x="145"/>
        <item x="301"/>
        <item x="113"/>
        <item x="102"/>
        <item x="306"/>
        <item x="368"/>
        <item x="239"/>
        <item x="124"/>
        <item x="72"/>
        <item x="82"/>
        <item x="405"/>
        <item x="6"/>
        <item x="233"/>
        <item x="254"/>
        <item x="189"/>
        <item x="162"/>
        <item x="311"/>
        <item x="353"/>
        <item x="371"/>
        <item x="153"/>
        <item x="194"/>
        <item x="447"/>
        <item x="247"/>
        <item x="173"/>
        <item x="451"/>
        <item x="146"/>
        <item x="211"/>
        <item x="288"/>
        <item x="395"/>
        <item x="182"/>
        <item x="273"/>
        <item x="469"/>
        <item x="401"/>
        <item x="37"/>
        <item x="34"/>
        <item x="430"/>
        <item x="379"/>
        <item x="237"/>
        <item x="257"/>
        <item x="242"/>
        <item x="71"/>
        <item x="166"/>
        <item x="299"/>
        <item x="99"/>
        <item x="84"/>
        <item x="22"/>
        <item x="326"/>
        <item x="92"/>
        <item x="112"/>
        <item x="235"/>
        <item x="114"/>
        <item x="160"/>
        <item x="283"/>
        <item x="357"/>
        <item x="119"/>
        <item x="90"/>
        <item x="57"/>
        <item x="372"/>
        <item x="286"/>
        <item x="75"/>
        <item x="232"/>
        <item x="214"/>
        <item x="464"/>
        <item x="329"/>
        <item x="438"/>
        <item x="120"/>
        <item x="461"/>
        <item x="18"/>
        <item x="91"/>
        <item x="55"/>
        <item x="89"/>
        <item x="397"/>
        <item x="382"/>
        <item x="115"/>
        <item x="77"/>
        <item x="277"/>
        <item x="65"/>
        <item x="303"/>
        <item x="172"/>
        <item x="456"/>
        <item x="207"/>
        <item x="85"/>
        <item x="304"/>
        <item x="324"/>
        <item x="197"/>
        <item x="445"/>
        <item x="442"/>
        <item x="399"/>
        <item x="291"/>
        <item x="361"/>
        <item x="21"/>
        <item x="179"/>
        <item x="256"/>
        <item x="315"/>
        <item x="351"/>
        <item x="3"/>
        <item x="157"/>
        <item x="393"/>
        <item x="337"/>
        <item x="240"/>
        <item x="195"/>
        <item x="238"/>
        <item x="250"/>
        <item x="170"/>
        <item x="352"/>
        <item x="404"/>
        <item x="29"/>
        <item x="370"/>
        <item x="163"/>
        <item x="135"/>
        <item x="236"/>
        <item x="420"/>
        <item x="444"/>
        <item x="285"/>
        <item x="355"/>
        <item x="230"/>
        <item x="470"/>
        <item x="388"/>
        <item x="409"/>
        <item x="199"/>
        <item x="161"/>
        <item x="226"/>
        <item x="169"/>
        <item x="342"/>
        <item x="268"/>
        <item x="411"/>
        <item x="36"/>
        <item x="465"/>
        <item x="449"/>
        <item x="48"/>
        <item x="58"/>
        <item x="10"/>
        <item x="78"/>
        <item x="269"/>
        <item x="332"/>
        <item x="392"/>
        <item x="231"/>
        <item x="62"/>
        <item x="191"/>
        <item x="448"/>
        <item x="154"/>
        <item x="185"/>
        <item x="59"/>
        <item x="360"/>
        <item x="462"/>
        <item x="97"/>
        <item x="45"/>
        <item x="241"/>
        <item x="457"/>
        <item x="98"/>
        <item x="323"/>
        <item x="290"/>
        <item x="110"/>
        <item x="155"/>
        <item x="319"/>
        <item x="276"/>
        <item x="282"/>
        <item x="117"/>
        <item x="407"/>
        <item x="249"/>
        <item x="130"/>
        <item x="443"/>
        <item x="142"/>
        <item x="53"/>
        <item x="111"/>
        <item x="378"/>
        <item x="279"/>
        <item x="354"/>
        <item x="307"/>
        <item x="253"/>
        <item x="168"/>
        <item x="210"/>
        <item x="81"/>
        <item x="47"/>
        <item x="255"/>
        <item x="314"/>
        <item x="176"/>
        <item x="74"/>
        <item x="270"/>
        <item x="67"/>
        <item x="356"/>
        <item x="49"/>
        <item x="202"/>
        <item x="339"/>
        <item x="289"/>
        <item x="2"/>
        <item x="302"/>
        <item x="68"/>
        <item x="259"/>
        <item x="460"/>
        <item x="366"/>
        <item x="322"/>
        <item x="435"/>
        <item x="373"/>
        <item x="17"/>
        <item x="227"/>
        <item x="258"/>
        <item x="377"/>
        <item x="95"/>
        <item x="80"/>
        <item x="320"/>
        <item x="51"/>
        <item x="374"/>
        <item x="281"/>
        <item x="40"/>
        <item x="406"/>
        <item x="441"/>
        <item x="13"/>
        <item x="175"/>
        <item t="default"/>
      </items>
    </pivotField>
    <pivotField numFmtId="165" showAll="0">
      <items count="6">
        <item x="1"/>
        <item x="4"/>
        <item x="0"/>
        <item x="2"/>
        <item x="3"/>
        <item t="default"/>
      </items>
    </pivotField>
    <pivotField numFmtId="165" showAll="0"/>
    <pivotField numFmtId="165" showAll="0"/>
    <pivotField dataField="1" numFmtId="165" showAll="0"/>
    <pivotField numFmtId="10"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7">
    <i>
      <x/>
    </i>
    <i>
      <x v="1"/>
    </i>
    <i>
      <x v="2"/>
    </i>
    <i>
      <x v="3"/>
    </i>
    <i>
      <x v="4"/>
    </i>
    <i>
      <x v="5"/>
    </i>
    <i t="grand">
      <x/>
    </i>
  </rowItems>
  <colItems count="1">
    <i/>
  </colItems>
  <dataFields count="1">
    <dataField name="Sum of Current Value " fld="8" baseField="0" baseItem="0" numFmtId="165"/>
  </dataFields>
  <chartFormats count="5">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D976AC-16C0-4421-AB70-61743FA450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9" firstHeaderRow="1" firstDataRow="1" firstDataCol="1"/>
  <pivotFields count="13">
    <pivotField showAll="0"/>
    <pivotField axis="axisRow" showAll="0">
      <items count="6">
        <item x="3"/>
        <item x="4"/>
        <item x="1"/>
        <item x="2"/>
        <item x="0"/>
        <item t="default"/>
      </items>
    </pivotField>
    <pivotField showAll="0">
      <items count="11">
        <item h="1" x="8"/>
        <item h="1" x="4"/>
        <item x="0"/>
        <item x="2"/>
        <item x="7"/>
        <item x="6"/>
        <item x="1"/>
        <item x="9"/>
        <item x="5"/>
        <item x="3"/>
        <item t="default"/>
      </items>
    </pivotField>
    <pivotField showAll="0">
      <items count="7">
        <item h="1" x="3"/>
        <item h="1" x="5"/>
        <item h="1" x="0"/>
        <item x="2"/>
        <item h="1" x="1"/>
        <item h="1" x="4"/>
        <item t="default"/>
      </items>
    </pivotField>
    <pivotField numFmtId="164" showAll="0">
      <items count="475">
        <item x="275"/>
        <item x="312"/>
        <item x="158"/>
        <item x="234"/>
        <item x="267"/>
        <item x="151"/>
        <item x="38"/>
        <item x="245"/>
        <item x="389"/>
        <item x="345"/>
        <item x="188"/>
        <item x="50"/>
        <item x="167"/>
        <item x="292"/>
        <item x="468"/>
        <item x="471"/>
        <item x="439"/>
        <item x="192"/>
        <item x="347"/>
        <item x="205"/>
        <item x="433"/>
        <item x="171"/>
        <item x="390"/>
        <item x="44"/>
        <item x="262"/>
        <item x="293"/>
        <item x="412"/>
        <item x="164"/>
        <item x="284"/>
        <item x="472"/>
        <item x="458"/>
        <item x="274"/>
        <item x="140"/>
        <item x="473"/>
        <item x="126"/>
        <item x="100"/>
        <item x="196"/>
        <item x="265"/>
        <item x="28"/>
        <item x="61"/>
        <item x="212"/>
        <item x="136"/>
        <item x="35"/>
        <item x="19"/>
        <item x="187"/>
        <item x="105"/>
        <item x="335"/>
        <item x="418"/>
        <item x="94"/>
        <item x="408"/>
        <item x="79"/>
        <item x="400"/>
        <item x="452"/>
        <item x="206"/>
        <item x="138"/>
        <item x="12"/>
        <item x="308"/>
        <item x="436"/>
        <item x="261"/>
        <item x="346"/>
        <item x="129"/>
        <item x="272"/>
        <item x="30"/>
        <item x="294"/>
        <item x="341"/>
        <item x="127"/>
        <item x="132"/>
        <item x="334"/>
        <item x="428"/>
        <item x="198"/>
        <item x="427"/>
        <item x="216"/>
        <item x="54"/>
        <item x="20"/>
        <item x="344"/>
        <item x="8"/>
        <item x="193"/>
        <item x="118"/>
        <item x="204"/>
        <item x="295"/>
        <item x="123"/>
        <item x="23"/>
        <item x="264"/>
        <item x="414"/>
        <item x="183"/>
        <item x="425"/>
        <item x="93"/>
        <item x="364"/>
        <item x="165"/>
        <item x="116"/>
        <item x="190"/>
        <item x="333"/>
        <item x="76"/>
        <item x="450"/>
        <item x="271"/>
        <item x="381"/>
        <item x="459"/>
        <item x="229"/>
        <item x="141"/>
        <item x="24"/>
        <item x="394"/>
        <item x="246"/>
        <item x="186"/>
        <item x="104"/>
        <item x="376"/>
        <item x="313"/>
        <item x="278"/>
        <item x="336"/>
        <item x="316"/>
        <item x="296"/>
        <item x="417"/>
        <item x="437"/>
        <item x="466"/>
        <item x="252"/>
        <item x="413"/>
        <item x="25"/>
        <item x="200"/>
        <item x="348"/>
        <item x="453"/>
        <item x="150"/>
        <item x="134"/>
        <item x="244"/>
        <item x="107"/>
        <item x="327"/>
        <item x="423"/>
        <item x="260"/>
        <item x="201"/>
        <item x="63"/>
        <item x="350"/>
        <item x="131"/>
        <item x="365"/>
        <item x="263"/>
        <item x="208"/>
        <item x="0"/>
        <item x="243"/>
        <item x="4"/>
        <item x="139"/>
        <item x="152"/>
        <item x="96"/>
        <item x="300"/>
        <item x="203"/>
        <item x="398"/>
        <item x="217"/>
        <item x="248"/>
        <item x="9"/>
        <item x="31"/>
        <item x="386"/>
        <item x="440"/>
        <item x="343"/>
        <item x="251"/>
        <item x="14"/>
        <item x="144"/>
        <item x="297"/>
        <item x="280"/>
        <item x="106"/>
        <item x="5"/>
        <item x="137"/>
        <item x="402"/>
        <item x="184"/>
        <item x="46"/>
        <item x="133"/>
        <item x="463"/>
        <item x="108"/>
        <item x="287"/>
        <item x="419"/>
        <item x="431"/>
        <item x="42"/>
        <item x="147"/>
        <item x="128"/>
        <item x="86"/>
        <item x="11"/>
        <item x="454"/>
        <item x="349"/>
        <item x="318"/>
        <item x="224"/>
        <item x="369"/>
        <item x="143"/>
        <item x="156"/>
        <item x="380"/>
        <item x="209"/>
        <item x="325"/>
        <item x="317"/>
        <item x="73"/>
        <item x="103"/>
        <item x="213"/>
        <item x="321"/>
        <item x="222"/>
        <item x="32"/>
        <item x="177"/>
        <item x="422"/>
        <item x="41"/>
        <item x="384"/>
        <item x="69"/>
        <item x="416"/>
        <item x="358"/>
        <item x="367"/>
        <item x="70"/>
        <item x="159"/>
        <item x="309"/>
        <item x="298"/>
        <item x="391"/>
        <item x="180"/>
        <item x="109"/>
        <item x="266"/>
        <item x="16"/>
        <item x="101"/>
        <item x="362"/>
        <item x="125"/>
        <item x="340"/>
        <item x="122"/>
        <item x="455"/>
        <item x="15"/>
        <item x="426"/>
        <item x="338"/>
        <item x="1"/>
        <item x="467"/>
        <item x="215"/>
        <item x="331"/>
        <item x="39"/>
        <item x="220"/>
        <item x="225"/>
        <item x="330"/>
        <item x="396"/>
        <item x="410"/>
        <item x="228"/>
        <item x="310"/>
        <item x="148"/>
        <item x="424"/>
        <item x="434"/>
        <item x="27"/>
        <item x="415"/>
        <item x="221"/>
        <item x="7"/>
        <item x="328"/>
        <item x="64"/>
        <item x="421"/>
        <item x="149"/>
        <item x="60"/>
        <item x="178"/>
        <item x="181"/>
        <item x="385"/>
        <item x="43"/>
        <item x="121"/>
        <item x="66"/>
        <item x="403"/>
        <item x="52"/>
        <item x="83"/>
        <item x="56"/>
        <item x="363"/>
        <item x="383"/>
        <item x="88"/>
        <item x="33"/>
        <item x="87"/>
        <item x="218"/>
        <item x="387"/>
        <item x="359"/>
        <item x="429"/>
        <item x="432"/>
        <item x="305"/>
        <item x="174"/>
        <item x="26"/>
        <item x="446"/>
        <item x="375"/>
        <item x="219"/>
        <item x="223"/>
        <item x="145"/>
        <item x="301"/>
        <item x="113"/>
        <item x="102"/>
        <item x="306"/>
        <item x="368"/>
        <item x="239"/>
        <item x="124"/>
        <item x="72"/>
        <item x="82"/>
        <item x="405"/>
        <item x="6"/>
        <item x="233"/>
        <item x="254"/>
        <item x="189"/>
        <item x="162"/>
        <item x="311"/>
        <item x="353"/>
        <item x="371"/>
        <item x="153"/>
        <item x="194"/>
        <item x="447"/>
        <item x="247"/>
        <item x="173"/>
        <item x="451"/>
        <item x="146"/>
        <item x="211"/>
        <item x="288"/>
        <item x="395"/>
        <item x="182"/>
        <item x="273"/>
        <item x="469"/>
        <item x="401"/>
        <item x="37"/>
        <item x="34"/>
        <item x="430"/>
        <item x="379"/>
        <item x="237"/>
        <item x="257"/>
        <item x="242"/>
        <item x="71"/>
        <item x="166"/>
        <item x="299"/>
        <item x="99"/>
        <item x="84"/>
        <item x="22"/>
        <item x="326"/>
        <item x="92"/>
        <item x="112"/>
        <item x="235"/>
        <item x="114"/>
        <item x="160"/>
        <item x="283"/>
        <item x="357"/>
        <item x="119"/>
        <item x="90"/>
        <item x="57"/>
        <item x="372"/>
        <item x="286"/>
        <item x="75"/>
        <item x="232"/>
        <item x="214"/>
        <item x="464"/>
        <item x="329"/>
        <item x="438"/>
        <item x="120"/>
        <item x="461"/>
        <item x="18"/>
        <item x="91"/>
        <item x="55"/>
        <item x="89"/>
        <item x="397"/>
        <item x="382"/>
        <item x="115"/>
        <item x="77"/>
        <item x="277"/>
        <item x="65"/>
        <item x="303"/>
        <item x="172"/>
        <item x="456"/>
        <item x="207"/>
        <item x="85"/>
        <item x="304"/>
        <item x="324"/>
        <item x="197"/>
        <item x="445"/>
        <item x="442"/>
        <item x="399"/>
        <item x="291"/>
        <item x="361"/>
        <item x="21"/>
        <item x="179"/>
        <item x="256"/>
        <item x="315"/>
        <item x="351"/>
        <item x="3"/>
        <item x="157"/>
        <item x="393"/>
        <item x="337"/>
        <item x="240"/>
        <item x="195"/>
        <item x="238"/>
        <item x="250"/>
        <item x="170"/>
        <item x="352"/>
        <item x="404"/>
        <item x="29"/>
        <item x="370"/>
        <item x="163"/>
        <item x="135"/>
        <item x="236"/>
        <item x="420"/>
        <item x="444"/>
        <item x="285"/>
        <item x="355"/>
        <item x="230"/>
        <item x="470"/>
        <item x="388"/>
        <item x="409"/>
        <item x="199"/>
        <item x="161"/>
        <item x="226"/>
        <item x="169"/>
        <item x="342"/>
        <item x="268"/>
        <item x="411"/>
        <item x="36"/>
        <item x="465"/>
        <item x="449"/>
        <item x="48"/>
        <item x="58"/>
        <item x="10"/>
        <item x="78"/>
        <item x="269"/>
        <item x="332"/>
        <item x="392"/>
        <item x="231"/>
        <item x="62"/>
        <item x="191"/>
        <item x="448"/>
        <item x="154"/>
        <item x="185"/>
        <item x="59"/>
        <item x="360"/>
        <item x="462"/>
        <item x="97"/>
        <item x="45"/>
        <item x="241"/>
        <item x="457"/>
        <item x="98"/>
        <item x="323"/>
        <item x="290"/>
        <item x="110"/>
        <item x="155"/>
        <item x="319"/>
        <item x="276"/>
        <item x="282"/>
        <item x="117"/>
        <item x="407"/>
        <item x="249"/>
        <item x="130"/>
        <item x="443"/>
        <item x="142"/>
        <item x="53"/>
        <item x="111"/>
        <item x="378"/>
        <item x="279"/>
        <item x="354"/>
        <item x="307"/>
        <item x="253"/>
        <item x="168"/>
        <item x="210"/>
        <item x="81"/>
        <item x="47"/>
        <item x="255"/>
        <item x="314"/>
        <item x="176"/>
        <item x="74"/>
        <item x="270"/>
        <item x="67"/>
        <item x="356"/>
        <item x="49"/>
        <item x="202"/>
        <item x="339"/>
        <item x="289"/>
        <item x="2"/>
        <item x="302"/>
        <item x="68"/>
        <item x="259"/>
        <item x="460"/>
        <item x="366"/>
        <item x="322"/>
        <item x="435"/>
        <item x="373"/>
        <item x="17"/>
        <item x="227"/>
        <item x="258"/>
        <item x="377"/>
        <item x="95"/>
        <item x="80"/>
        <item x="320"/>
        <item x="51"/>
        <item x="374"/>
        <item x="281"/>
        <item x="40"/>
        <item x="406"/>
        <item x="441"/>
        <item x="13"/>
        <item x="175"/>
        <item t="default"/>
      </items>
    </pivotField>
    <pivotField numFmtId="165" showAll="0"/>
    <pivotField dataField="1" numFmtId="165" showAll="0"/>
    <pivotField numFmtId="165" showAll="0"/>
    <pivotField numFmtId="165" showAll="0"/>
    <pivotField numFmtId="10" showAll="0"/>
    <pivotField showAll="0" defaultSubtotal="0"/>
    <pivotField showAll="0" defaultSubtotal="0"/>
    <pivotField showAll="0" defaultSubtotal="0">
      <items count="7">
        <item x="0"/>
        <item x="1"/>
        <item x="2"/>
        <item x="3"/>
        <item x="4"/>
        <item x="5"/>
        <item x="6"/>
      </items>
    </pivotField>
  </pivotFields>
  <rowFields count="1">
    <field x="1"/>
  </rowFields>
  <rowItems count="6">
    <i>
      <x/>
    </i>
    <i>
      <x v="1"/>
    </i>
    <i>
      <x v="2"/>
    </i>
    <i>
      <x v="3"/>
    </i>
    <i>
      <x v="4"/>
    </i>
    <i t="grand">
      <x/>
    </i>
  </rowItems>
  <colItems count="1">
    <i/>
  </colItems>
  <dataFields count="1">
    <dataField name="Sum of Total Invested " fld="6" baseField="0" baseItem="0" numFmtId="165"/>
  </dataField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C" xr10:uid="{C73C8E4B-BEBD-417E-8DB8-5A5691FD493A}" sourceName="AMC">
  <pivotTables>
    <pivotTable tabId="18" name="PivotTable7"/>
  </pivotTables>
  <data>
    <tabular pivotCacheId="316945802">
      <items count="10">
        <i x="8"/>
        <i x="4"/>
        <i x="0" s="1"/>
        <i x="2" s="1"/>
        <i x="7" s="1"/>
        <i x="6" s="1"/>
        <i x="1" s="1"/>
        <i x="9"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Manager" xr10:uid="{050F7C43-DC4F-46AB-87CE-B7834F44217B}" sourceName="Fund Manager">
  <pivotTables>
    <pivotTable tabId="19" name="PivotTable9"/>
  </pivotTables>
  <data>
    <tabular pivotCacheId="316945802">
      <items count="6">
        <i x="3" s="1"/>
        <i x="5"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Type1" xr10:uid="{C17077A1-6450-49CA-8516-78465BF76E69}" sourceName="Fund Type">
  <pivotTables>
    <pivotTable tabId="16" name="PivotTable1"/>
    <pivotTable tabId="19" name="PivotTable8"/>
    <pivotTable tabId="18" name="PivotTable6"/>
  </pivotTables>
  <data>
    <tabular pivotCacheId="316945802">
      <items count="5">
        <i x="3" s="1"/>
        <i x="4"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MC 2" xr10:uid="{B2BA3D87-F479-4154-85B7-5CB597D63D2D}" cache="Slicer_AMC" caption="AMC" style="SlicerStyleLight1" rowHeight="241300"/>
  <slicer name="Fund Manager 2" xr10:uid="{C823E1B8-E636-4C6F-B329-316196979837}" cache="Slicer_Fund_Manager" caption="Fund Manager" style="SlicerStyleLight1" rowHeight="241300"/>
  <slicer name="Fund Type 4" xr10:uid="{709F6DBC-EC9D-4DCE-AAD9-6E169EAE6D5E}" cache="Slicer_Fund_Type1" caption="Fund Type"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MC 1" xr10:uid="{36D939A0-C50E-474A-8C5F-0B92D4B05F60}" cache="Slicer_AMC" caption="AMC" startItem="2" style="SlicerStyleLight1" rowHeight="241300"/>
  <slicer name="Fund Manager 1" xr10:uid="{09EDAB74-E587-4854-85AF-BD91394B78B8}" cache="Slicer_Fund_Manager" caption="Fund Manager" style="SlicerStyleLight1" rowHeight="241300"/>
  <slicer name="Fund Type 3" xr10:uid="{1ED72A8D-B7F9-4DC8-B2AD-D994E4B34B95}" cache="Slicer_Fund_Type1" caption="Fund Type" style="SlicerStyleLigh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 Type" xr10:uid="{006DE250-E759-41B1-9FCD-7C20DAC0D871}" cache="Slicer_Fund_Type1" caption="Fund Type" columnCount="5" style="SlicerStyleLight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MC" xr10:uid="{5FA7E10C-D74B-4C43-91B7-D693DAE2D841}" cache="Slicer_AMC" caption="AMC" style="SlicerStyleLight1" rowHeight="241300"/>
  <slicer name="Fund Manager" xr10:uid="{386251DA-3F21-4755-A532-DD42372B1122}" cache="Slicer_Fund_Manager" caption="Fund Manager" style="SlicerStyleLight1" rowHeight="241300"/>
  <slicer name="Fund Type 2" xr10:uid="{3C463814-DB58-4FD3-AC74-6D0524EE9EEE}" cache="Slicer_Fund_Type1" caption="Fund Type" style="SlicerStyleLight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CB8375-4FFD-4214-BA1C-A428E2D867D5}" name="Table1" displayName="Table1" ref="A1:J551" totalsRowShown="0" headerRowDxfId="8" headerRowBorderDxfId="7" tableBorderDxfId="6">
  <autoFilter ref="A1:J551" xr:uid="{DACB8375-4FFD-4214-BA1C-A428E2D867D5}"/>
  <tableColumns count="10">
    <tableColumn id="1" xr3:uid="{0255F3FD-C7F1-41B1-8E68-10B38F891D5D}" name="Fund Name"/>
    <tableColumn id="2" xr3:uid="{883E4DD3-F831-46DA-BB3B-86F5C368ABD6}" name="Fund Type"/>
    <tableColumn id="3" xr3:uid="{AE59E8AD-33CE-4E69-8B0F-DCCFDBC767EA}" name="AMC"/>
    <tableColumn id="4" xr3:uid="{7556429A-5DF3-4EC4-B4E9-6AAD5AABD76C}" name="Fund Manager"/>
    <tableColumn id="5" xr3:uid="{A4B5BD25-92AD-4D5B-84DA-D9B92918FC66}" name="SIP Start Date" dataDxfId="5"/>
    <tableColumn id="6" xr3:uid="{FC462E74-01D8-43E9-A76C-B580928D0388}" name="Monthly SIP " dataDxfId="4"/>
    <tableColumn id="7" xr3:uid="{1ABEA909-D03E-4D5C-929C-44DDAED443C5}" name="Total Invested " dataDxfId="3"/>
    <tableColumn id="8" xr3:uid="{2234EDD4-A51C-45CB-ACBE-9F0812A09E0B}" name="Current NAV" dataDxfId="2"/>
    <tableColumn id="9" xr3:uid="{D3CAF388-FA31-4704-A764-F090678C0711}" name="Current Value " dataDxfId="1"/>
    <tableColumn id="10" xr3:uid="{EFFC6E97-186C-49AE-A8D7-605A170AC2C3}" name="Returns " dataDxfId="0">
      <calculatedColumnFormula>(I2-G2)/G2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1"/>
  <sheetViews>
    <sheetView zoomScale="70" zoomScaleNormal="70" workbookViewId="0"/>
  </sheetViews>
  <sheetFormatPr defaultRowHeight="14.5" x14ac:dyDescent="0.35"/>
  <cols>
    <col min="1" max="1" width="28.90625" bestFit="1" customWidth="1"/>
    <col min="2" max="2" width="15.6328125" bestFit="1" customWidth="1"/>
    <col min="3" max="3" width="11.26953125" bestFit="1" customWidth="1"/>
    <col min="4" max="4" width="19.08984375" bestFit="1" customWidth="1"/>
    <col min="5" max="5" width="18.1796875" bestFit="1" customWidth="1"/>
    <col min="6" max="6" width="17.453125" bestFit="1" customWidth="1"/>
    <col min="7" max="7" width="19.26953125" bestFit="1" customWidth="1"/>
    <col min="8" max="8" width="17.453125" bestFit="1" customWidth="1"/>
    <col min="9" max="9" width="19.08984375" bestFit="1" customWidth="1"/>
    <col min="10" max="10" width="14" bestFit="1" customWidth="1"/>
  </cols>
  <sheetData>
    <row r="1" spans="1:10" x14ac:dyDescent="0.35">
      <c r="A1" s="4" t="s">
        <v>0</v>
      </c>
      <c r="B1" s="4" t="s">
        <v>1</v>
      </c>
      <c r="C1" s="4" t="s">
        <v>2</v>
      </c>
      <c r="D1" s="4" t="s">
        <v>3</v>
      </c>
      <c r="E1" s="4" t="s">
        <v>4</v>
      </c>
      <c r="F1" s="4" t="s">
        <v>37</v>
      </c>
      <c r="G1" s="4" t="s">
        <v>38</v>
      </c>
      <c r="H1" s="4" t="s">
        <v>5</v>
      </c>
      <c r="I1" s="4" t="s">
        <v>39</v>
      </c>
      <c r="J1" s="4" t="s">
        <v>40</v>
      </c>
    </row>
    <row r="2" spans="1:10" x14ac:dyDescent="0.35">
      <c r="A2" t="s">
        <v>6</v>
      </c>
      <c r="B2" t="s">
        <v>16</v>
      </c>
      <c r="C2" t="s">
        <v>21</v>
      </c>
      <c r="D2" t="s">
        <v>31</v>
      </c>
      <c r="E2" s="1">
        <v>44245</v>
      </c>
      <c r="F2" s="3">
        <v>1500</v>
      </c>
      <c r="G2" s="3">
        <v>81000</v>
      </c>
      <c r="H2" s="3">
        <v>45.02</v>
      </c>
      <c r="I2" s="3">
        <v>124213.29</v>
      </c>
      <c r="J2" s="2">
        <f>(I2-G2)/G2</f>
        <v>0.53349740740740736</v>
      </c>
    </row>
    <row r="3" spans="1:10" x14ac:dyDescent="0.35">
      <c r="A3" t="s">
        <v>7</v>
      </c>
      <c r="B3" t="s">
        <v>16</v>
      </c>
      <c r="C3" t="s">
        <v>21</v>
      </c>
      <c r="D3" t="s">
        <v>32</v>
      </c>
      <c r="E3" s="1">
        <v>44519</v>
      </c>
      <c r="F3" s="3">
        <v>500</v>
      </c>
      <c r="G3" s="3">
        <v>22500</v>
      </c>
      <c r="H3" s="3">
        <v>16.829999999999998</v>
      </c>
      <c r="I3" s="3">
        <v>23948.74</v>
      </c>
      <c r="J3" s="2">
        <f t="shared" ref="J3:J66" si="0">(I3-G3)/G3</f>
        <v>6.4388444444444512E-2</v>
      </c>
    </row>
    <row r="4" spans="1:10" x14ac:dyDescent="0.35">
      <c r="A4" t="s">
        <v>8</v>
      </c>
      <c r="B4" t="s">
        <v>17</v>
      </c>
      <c r="C4" t="s">
        <v>22</v>
      </c>
      <c r="D4" t="s">
        <v>33</v>
      </c>
      <c r="E4" s="1">
        <v>45246</v>
      </c>
      <c r="F4" s="3">
        <v>1500</v>
      </c>
      <c r="G4" s="3">
        <v>30000</v>
      </c>
      <c r="H4" s="3">
        <v>18.559999999999999</v>
      </c>
      <c r="I4" s="3">
        <v>42871.77</v>
      </c>
      <c r="J4" s="2">
        <f t="shared" si="0"/>
        <v>0.42905899999999991</v>
      </c>
    </row>
    <row r="5" spans="1:10" x14ac:dyDescent="0.35">
      <c r="A5" t="s">
        <v>9</v>
      </c>
      <c r="B5" t="s">
        <v>16</v>
      </c>
      <c r="C5" t="s">
        <v>23</v>
      </c>
      <c r="D5" t="s">
        <v>34</v>
      </c>
      <c r="E5" s="1">
        <v>44948</v>
      </c>
      <c r="F5" s="3">
        <v>2000</v>
      </c>
      <c r="G5" s="3">
        <v>60000</v>
      </c>
      <c r="H5" s="3">
        <v>42.64</v>
      </c>
      <c r="I5" s="3">
        <v>67425.7</v>
      </c>
      <c r="J5" s="2">
        <f t="shared" si="0"/>
        <v>0.12376166666666662</v>
      </c>
    </row>
    <row r="6" spans="1:10" x14ac:dyDescent="0.35">
      <c r="A6" t="s">
        <v>10</v>
      </c>
      <c r="B6" t="s">
        <v>18</v>
      </c>
      <c r="C6" t="s">
        <v>24</v>
      </c>
      <c r="D6" t="s">
        <v>34</v>
      </c>
      <c r="E6" s="1">
        <v>44250</v>
      </c>
      <c r="F6" s="3">
        <v>1500</v>
      </c>
      <c r="G6" s="3">
        <v>81000</v>
      </c>
      <c r="H6" s="3">
        <v>60.48</v>
      </c>
      <c r="I6" s="3">
        <v>115241.08</v>
      </c>
      <c r="J6" s="2">
        <f t="shared" si="0"/>
        <v>0.42272938271604943</v>
      </c>
    </row>
    <row r="7" spans="1:10" x14ac:dyDescent="0.35">
      <c r="A7" t="s">
        <v>11</v>
      </c>
      <c r="B7" t="s">
        <v>17</v>
      </c>
      <c r="C7" t="s">
        <v>25</v>
      </c>
      <c r="D7" t="s">
        <v>35</v>
      </c>
      <c r="E7" s="1">
        <v>44317</v>
      </c>
      <c r="F7" s="3">
        <v>2000</v>
      </c>
      <c r="G7" s="3">
        <v>102000</v>
      </c>
      <c r="H7" s="3">
        <v>37.81</v>
      </c>
      <c r="I7" s="3">
        <v>150185.64000000001</v>
      </c>
      <c r="J7" s="2">
        <f t="shared" si="0"/>
        <v>0.4724082352941178</v>
      </c>
    </row>
    <row r="8" spans="1:10" x14ac:dyDescent="0.35">
      <c r="A8" t="s">
        <v>10</v>
      </c>
      <c r="B8" t="s">
        <v>16</v>
      </c>
      <c r="C8" t="s">
        <v>22</v>
      </c>
      <c r="D8" t="s">
        <v>34</v>
      </c>
      <c r="E8" s="1">
        <v>44690</v>
      </c>
      <c r="F8" s="3">
        <v>3000</v>
      </c>
      <c r="G8" s="3">
        <v>117000</v>
      </c>
      <c r="H8" s="3">
        <v>59.79</v>
      </c>
      <c r="I8" s="3">
        <v>146457.20000000001</v>
      </c>
      <c r="J8" s="2">
        <f t="shared" si="0"/>
        <v>0.25177094017094026</v>
      </c>
    </row>
    <row r="9" spans="1:10" x14ac:dyDescent="0.35">
      <c r="A9" t="s">
        <v>10</v>
      </c>
      <c r="B9" t="s">
        <v>17</v>
      </c>
      <c r="C9" t="s">
        <v>26</v>
      </c>
      <c r="D9" t="s">
        <v>35</v>
      </c>
      <c r="E9" s="1">
        <v>44564</v>
      </c>
      <c r="F9" s="3">
        <v>1500</v>
      </c>
      <c r="G9" s="3">
        <v>64500</v>
      </c>
      <c r="H9" s="3">
        <v>10.41</v>
      </c>
      <c r="I9" s="3">
        <v>62184.42</v>
      </c>
      <c r="J9" s="2">
        <f t="shared" si="0"/>
        <v>-3.5900465116279097E-2</v>
      </c>
    </row>
    <row r="10" spans="1:10" x14ac:dyDescent="0.35">
      <c r="A10" t="s">
        <v>12</v>
      </c>
      <c r="B10" t="s">
        <v>19</v>
      </c>
      <c r="C10" t="s">
        <v>22</v>
      </c>
      <c r="D10" t="s">
        <v>32</v>
      </c>
      <c r="E10" s="1">
        <v>44069</v>
      </c>
      <c r="F10" s="3">
        <v>500</v>
      </c>
      <c r="G10" s="3">
        <v>30000</v>
      </c>
      <c r="H10" s="3">
        <v>19.059999999999999</v>
      </c>
      <c r="I10" s="3">
        <v>37941.019999999997</v>
      </c>
      <c r="J10" s="2">
        <f t="shared" si="0"/>
        <v>0.26470066666666658</v>
      </c>
    </row>
    <row r="11" spans="1:10" x14ac:dyDescent="0.35">
      <c r="A11" t="s">
        <v>13</v>
      </c>
      <c r="B11" t="s">
        <v>19</v>
      </c>
      <c r="C11" t="s">
        <v>24</v>
      </c>
      <c r="D11" t="s">
        <v>36</v>
      </c>
      <c r="E11" s="1">
        <v>44279</v>
      </c>
      <c r="F11" s="3">
        <v>2000</v>
      </c>
      <c r="G11" s="3">
        <v>106000</v>
      </c>
      <c r="H11" s="3">
        <v>13.65</v>
      </c>
      <c r="I11" s="3">
        <v>99301.74</v>
      </c>
      <c r="J11" s="2">
        <f t="shared" si="0"/>
        <v>-6.3191132075471654E-2</v>
      </c>
    </row>
    <row r="12" spans="1:10" x14ac:dyDescent="0.35">
      <c r="A12" t="s">
        <v>12</v>
      </c>
      <c r="B12" t="s">
        <v>20</v>
      </c>
      <c r="C12" t="s">
        <v>26</v>
      </c>
      <c r="D12" t="s">
        <v>31</v>
      </c>
      <c r="E12" s="1">
        <v>45060</v>
      </c>
      <c r="F12" s="3">
        <v>2000</v>
      </c>
      <c r="G12" s="3">
        <v>54000</v>
      </c>
      <c r="H12" s="3">
        <v>34.25</v>
      </c>
      <c r="I12" s="3">
        <v>59943.51</v>
      </c>
      <c r="J12" s="2">
        <f t="shared" si="0"/>
        <v>0.11006500000000004</v>
      </c>
    </row>
    <row r="13" spans="1:10" x14ac:dyDescent="0.35">
      <c r="A13" t="s">
        <v>14</v>
      </c>
      <c r="B13" t="s">
        <v>16</v>
      </c>
      <c r="C13" t="s">
        <v>21</v>
      </c>
      <c r="D13" t="s">
        <v>31</v>
      </c>
      <c r="E13" s="1">
        <v>44365</v>
      </c>
      <c r="F13" s="3">
        <v>1000</v>
      </c>
      <c r="G13" s="3">
        <v>50000</v>
      </c>
      <c r="H13" s="3">
        <v>50.03</v>
      </c>
      <c r="I13" s="3">
        <v>60203.49</v>
      </c>
      <c r="J13" s="2">
        <f t="shared" si="0"/>
        <v>0.20406979999999997</v>
      </c>
    </row>
    <row r="14" spans="1:10" x14ac:dyDescent="0.35">
      <c r="A14" t="s">
        <v>14</v>
      </c>
      <c r="B14" t="s">
        <v>17</v>
      </c>
      <c r="C14" t="s">
        <v>23</v>
      </c>
      <c r="D14" t="s">
        <v>33</v>
      </c>
      <c r="E14" s="1">
        <v>44003</v>
      </c>
      <c r="F14" s="3">
        <v>1000</v>
      </c>
      <c r="G14" s="3">
        <v>62000</v>
      </c>
      <c r="H14" s="3">
        <v>66.239999999999995</v>
      </c>
      <c r="I14" s="3">
        <v>50181.35</v>
      </c>
      <c r="J14" s="2">
        <f t="shared" si="0"/>
        <v>-0.19062338709677421</v>
      </c>
    </row>
    <row r="15" spans="1:10" x14ac:dyDescent="0.35">
      <c r="A15" t="s">
        <v>8</v>
      </c>
      <c r="B15" t="s">
        <v>20</v>
      </c>
      <c r="C15" t="s">
        <v>24</v>
      </c>
      <c r="D15" t="s">
        <v>32</v>
      </c>
      <c r="E15" s="1">
        <v>45325</v>
      </c>
      <c r="F15" s="3">
        <v>1500</v>
      </c>
      <c r="G15" s="3">
        <v>27000</v>
      </c>
      <c r="H15" s="3">
        <v>53.71</v>
      </c>
      <c r="I15" s="3">
        <v>27235.25</v>
      </c>
      <c r="J15" s="2">
        <f t="shared" si="0"/>
        <v>8.7129629629629623E-3</v>
      </c>
    </row>
    <row r="16" spans="1:10" x14ac:dyDescent="0.35">
      <c r="A16" t="s">
        <v>7</v>
      </c>
      <c r="B16" t="s">
        <v>19</v>
      </c>
      <c r="C16" t="s">
        <v>23</v>
      </c>
      <c r="D16" t="s">
        <v>35</v>
      </c>
      <c r="E16" s="1">
        <v>44300</v>
      </c>
      <c r="F16" s="3">
        <v>2000</v>
      </c>
      <c r="G16" s="3">
        <v>104000</v>
      </c>
      <c r="H16" s="3">
        <v>29.31</v>
      </c>
      <c r="I16" s="3">
        <v>142094.12</v>
      </c>
      <c r="J16" s="2">
        <f t="shared" si="0"/>
        <v>0.36628961538461535</v>
      </c>
    </row>
    <row r="17" spans="1:10" x14ac:dyDescent="0.35">
      <c r="A17" t="s">
        <v>12</v>
      </c>
      <c r="B17" t="s">
        <v>19</v>
      </c>
      <c r="C17" t="s">
        <v>27</v>
      </c>
      <c r="D17" t="s">
        <v>33</v>
      </c>
      <c r="E17" s="1">
        <v>44495</v>
      </c>
      <c r="F17" s="3">
        <v>1000</v>
      </c>
      <c r="G17" s="3">
        <v>45000</v>
      </c>
      <c r="H17" s="3">
        <v>15.37</v>
      </c>
      <c r="I17" s="3">
        <v>40937.699999999997</v>
      </c>
      <c r="J17" s="2">
        <f t="shared" si="0"/>
        <v>-9.02733333333334E-2</v>
      </c>
    </row>
    <row r="18" spans="1:10" x14ac:dyDescent="0.35">
      <c r="A18" t="s">
        <v>14</v>
      </c>
      <c r="B18" t="s">
        <v>16</v>
      </c>
      <c r="C18" t="s">
        <v>28</v>
      </c>
      <c r="D18" t="s">
        <v>36</v>
      </c>
      <c r="E18" s="1">
        <v>44478</v>
      </c>
      <c r="F18" s="3">
        <v>1500</v>
      </c>
      <c r="G18" s="3">
        <v>69000</v>
      </c>
      <c r="H18" s="3">
        <v>20.16</v>
      </c>
      <c r="I18" s="3">
        <v>56277.120000000003</v>
      </c>
      <c r="J18" s="2">
        <f t="shared" si="0"/>
        <v>-0.18438956521739128</v>
      </c>
    </row>
    <row r="19" spans="1:10" x14ac:dyDescent="0.35">
      <c r="A19" t="s">
        <v>11</v>
      </c>
      <c r="B19" t="s">
        <v>19</v>
      </c>
      <c r="C19" t="s">
        <v>22</v>
      </c>
      <c r="D19" t="s">
        <v>31</v>
      </c>
      <c r="E19" s="1">
        <v>45280</v>
      </c>
      <c r="F19" s="3">
        <v>2000</v>
      </c>
      <c r="G19" s="3">
        <v>38000</v>
      </c>
      <c r="H19" s="3">
        <v>14.98</v>
      </c>
      <c r="I19" s="3">
        <v>59836.44</v>
      </c>
      <c r="J19" s="2">
        <f t="shared" si="0"/>
        <v>0.57464315789473686</v>
      </c>
    </row>
    <row r="20" spans="1:10" x14ac:dyDescent="0.35">
      <c r="A20" t="s">
        <v>14</v>
      </c>
      <c r="B20" t="s">
        <v>17</v>
      </c>
      <c r="C20" t="s">
        <v>27</v>
      </c>
      <c r="D20" t="s">
        <v>36</v>
      </c>
      <c r="E20" s="1">
        <v>44859</v>
      </c>
      <c r="F20" s="3">
        <v>2000</v>
      </c>
      <c r="G20" s="3">
        <v>66000</v>
      </c>
      <c r="H20" s="3">
        <v>25.79</v>
      </c>
      <c r="I20" s="3">
        <v>83860.88</v>
      </c>
      <c r="J20" s="2">
        <f t="shared" si="0"/>
        <v>0.27061939393939399</v>
      </c>
    </row>
    <row r="21" spans="1:10" x14ac:dyDescent="0.35">
      <c r="A21" t="s">
        <v>12</v>
      </c>
      <c r="B21" t="s">
        <v>18</v>
      </c>
      <c r="C21" t="s">
        <v>29</v>
      </c>
      <c r="D21" t="s">
        <v>31</v>
      </c>
      <c r="E21" s="1">
        <v>43967</v>
      </c>
      <c r="F21" s="3">
        <v>1500</v>
      </c>
      <c r="G21" s="3">
        <v>94500</v>
      </c>
      <c r="H21" s="3">
        <v>64.48</v>
      </c>
      <c r="I21" s="3">
        <v>89451.28</v>
      </c>
      <c r="J21" s="2">
        <f t="shared" si="0"/>
        <v>-5.3425608465608475E-2</v>
      </c>
    </row>
    <row r="22" spans="1:10" x14ac:dyDescent="0.35">
      <c r="A22" t="s">
        <v>10</v>
      </c>
      <c r="B22" t="s">
        <v>18</v>
      </c>
      <c r="C22" t="s">
        <v>24</v>
      </c>
      <c r="D22" t="s">
        <v>36</v>
      </c>
      <c r="E22" s="1">
        <v>44054</v>
      </c>
      <c r="F22" s="3">
        <v>3000</v>
      </c>
      <c r="G22" s="3">
        <v>180000</v>
      </c>
      <c r="H22" s="3">
        <v>46.87</v>
      </c>
      <c r="I22" s="3">
        <v>227646.74</v>
      </c>
      <c r="J22" s="2">
        <f t="shared" si="0"/>
        <v>0.26470411111111108</v>
      </c>
    </row>
    <row r="23" spans="1:10" x14ac:dyDescent="0.35">
      <c r="A23" t="s">
        <v>8</v>
      </c>
      <c r="B23" t="s">
        <v>20</v>
      </c>
      <c r="C23" t="s">
        <v>25</v>
      </c>
      <c r="D23" t="s">
        <v>35</v>
      </c>
      <c r="E23" s="1">
        <v>44937</v>
      </c>
      <c r="F23" s="3">
        <v>3000</v>
      </c>
      <c r="G23" s="3">
        <v>93000</v>
      </c>
      <c r="H23" s="3">
        <v>53.32</v>
      </c>
      <c r="I23" s="3">
        <v>142311.26</v>
      </c>
      <c r="J23" s="2">
        <f t="shared" si="0"/>
        <v>0.53022860215053769</v>
      </c>
    </row>
    <row r="24" spans="1:10" x14ac:dyDescent="0.35">
      <c r="A24" t="s">
        <v>13</v>
      </c>
      <c r="B24" t="s">
        <v>17</v>
      </c>
      <c r="C24" t="s">
        <v>21</v>
      </c>
      <c r="D24" t="s">
        <v>32</v>
      </c>
      <c r="E24" s="1">
        <v>44775</v>
      </c>
      <c r="F24" s="3">
        <v>500</v>
      </c>
      <c r="G24" s="3">
        <v>18000</v>
      </c>
      <c r="H24" s="3">
        <v>19.79</v>
      </c>
      <c r="I24" s="3">
        <v>21223.19</v>
      </c>
      <c r="J24" s="2">
        <f t="shared" si="0"/>
        <v>0.17906611111111104</v>
      </c>
    </row>
    <row r="25" spans="1:10" x14ac:dyDescent="0.35">
      <c r="A25" t="s">
        <v>7</v>
      </c>
      <c r="B25" t="s">
        <v>16</v>
      </c>
      <c r="C25" t="s">
        <v>23</v>
      </c>
      <c r="D25" t="s">
        <v>33</v>
      </c>
      <c r="E25" s="1">
        <v>44082</v>
      </c>
      <c r="F25" s="3">
        <v>3000</v>
      </c>
      <c r="G25" s="3">
        <v>177000</v>
      </c>
      <c r="H25" s="3">
        <v>11.97</v>
      </c>
      <c r="I25" s="3">
        <v>267519.43</v>
      </c>
      <c r="J25" s="2">
        <f t="shared" si="0"/>
        <v>0.51140920903954801</v>
      </c>
    </row>
    <row r="26" spans="1:10" x14ac:dyDescent="0.35">
      <c r="A26" t="s">
        <v>14</v>
      </c>
      <c r="B26" t="s">
        <v>18</v>
      </c>
      <c r="C26" t="s">
        <v>23</v>
      </c>
      <c r="D26" t="s">
        <v>35</v>
      </c>
      <c r="E26" s="1">
        <v>44160</v>
      </c>
      <c r="F26" s="3">
        <v>500</v>
      </c>
      <c r="G26" s="3">
        <v>28500</v>
      </c>
      <c r="H26" s="3">
        <v>58.8</v>
      </c>
      <c r="I26" s="3">
        <v>32964.19</v>
      </c>
      <c r="J26" s="2">
        <f t="shared" si="0"/>
        <v>0.15663824561403517</v>
      </c>
    </row>
    <row r="27" spans="1:10" x14ac:dyDescent="0.35">
      <c r="A27" t="s">
        <v>8</v>
      </c>
      <c r="B27" t="s">
        <v>17</v>
      </c>
      <c r="C27" t="s">
        <v>22</v>
      </c>
      <c r="D27" t="s">
        <v>34</v>
      </c>
      <c r="E27" s="1">
        <v>44199</v>
      </c>
      <c r="F27" s="3">
        <v>2000</v>
      </c>
      <c r="G27" s="3">
        <v>110000</v>
      </c>
      <c r="H27" s="3">
        <v>35.049999999999997</v>
      </c>
      <c r="I27" s="3">
        <v>160205.35999999999</v>
      </c>
      <c r="J27" s="2">
        <f t="shared" si="0"/>
        <v>0.45641236363636351</v>
      </c>
    </row>
    <row r="28" spans="1:10" x14ac:dyDescent="0.35">
      <c r="A28" t="s">
        <v>14</v>
      </c>
      <c r="B28" t="s">
        <v>18</v>
      </c>
      <c r="C28" t="s">
        <v>28</v>
      </c>
      <c r="D28" t="s">
        <v>35</v>
      </c>
      <c r="E28" s="1">
        <v>44647</v>
      </c>
      <c r="F28" s="3">
        <v>3000</v>
      </c>
      <c r="G28" s="3">
        <v>120000</v>
      </c>
      <c r="H28" s="3">
        <v>44.96</v>
      </c>
      <c r="I28" s="3">
        <v>161507.04</v>
      </c>
      <c r="J28" s="2">
        <f t="shared" si="0"/>
        <v>0.34589200000000009</v>
      </c>
    </row>
    <row r="29" spans="1:10" x14ac:dyDescent="0.35">
      <c r="A29" t="s">
        <v>10</v>
      </c>
      <c r="B29" t="s">
        <v>17</v>
      </c>
      <c r="C29" t="s">
        <v>21</v>
      </c>
      <c r="D29" t="s">
        <v>36</v>
      </c>
      <c r="E29" s="1">
        <v>44551</v>
      </c>
      <c r="F29" s="3">
        <v>1000</v>
      </c>
      <c r="G29" s="3">
        <v>44000</v>
      </c>
      <c r="H29" s="3">
        <v>47.14</v>
      </c>
      <c r="I29" s="3">
        <v>47468.29</v>
      </c>
      <c r="J29" s="2">
        <f t="shared" si="0"/>
        <v>7.8824772727272743E-2</v>
      </c>
    </row>
    <row r="30" spans="1:10" x14ac:dyDescent="0.35">
      <c r="A30" t="s">
        <v>11</v>
      </c>
      <c r="B30" t="s">
        <v>18</v>
      </c>
      <c r="C30" t="s">
        <v>30</v>
      </c>
      <c r="D30" t="s">
        <v>34</v>
      </c>
      <c r="E30" s="1">
        <v>43948</v>
      </c>
      <c r="F30" s="3">
        <v>500</v>
      </c>
      <c r="G30" s="3">
        <v>32000</v>
      </c>
      <c r="H30" s="3">
        <v>17.59</v>
      </c>
      <c r="I30" s="3">
        <v>36235.54</v>
      </c>
      <c r="J30" s="2">
        <f t="shared" si="0"/>
        <v>0.13236062500000004</v>
      </c>
    </row>
    <row r="31" spans="1:10" x14ac:dyDescent="0.35">
      <c r="A31" t="s">
        <v>11</v>
      </c>
      <c r="B31" t="s">
        <v>20</v>
      </c>
      <c r="C31" t="s">
        <v>24</v>
      </c>
      <c r="D31" t="s">
        <v>34</v>
      </c>
      <c r="E31" s="1">
        <v>44987</v>
      </c>
      <c r="F31" s="3">
        <v>500</v>
      </c>
      <c r="G31" s="3">
        <v>14500</v>
      </c>
      <c r="H31" s="3">
        <v>17.18</v>
      </c>
      <c r="I31" s="3">
        <v>17515.849999999999</v>
      </c>
      <c r="J31" s="2">
        <f t="shared" si="0"/>
        <v>0.20798965517241369</v>
      </c>
    </row>
    <row r="32" spans="1:10" x14ac:dyDescent="0.35">
      <c r="A32" t="s">
        <v>8</v>
      </c>
      <c r="B32" t="s">
        <v>16</v>
      </c>
      <c r="C32" t="s">
        <v>29</v>
      </c>
      <c r="D32" t="s">
        <v>31</v>
      </c>
      <c r="E32" s="1">
        <v>45060</v>
      </c>
      <c r="F32" s="3">
        <v>500</v>
      </c>
      <c r="G32" s="3">
        <v>13500</v>
      </c>
      <c r="H32" s="3">
        <v>19.62</v>
      </c>
      <c r="I32" s="3">
        <v>11717.78</v>
      </c>
      <c r="J32" s="2">
        <f t="shared" si="0"/>
        <v>-0.13201629629629624</v>
      </c>
    </row>
    <row r="33" spans="1:10" x14ac:dyDescent="0.35">
      <c r="A33" t="s">
        <v>6</v>
      </c>
      <c r="B33" t="s">
        <v>20</v>
      </c>
      <c r="C33" t="s">
        <v>28</v>
      </c>
      <c r="D33" t="s">
        <v>34</v>
      </c>
      <c r="E33" s="1">
        <v>44026</v>
      </c>
      <c r="F33" s="3">
        <v>1500</v>
      </c>
      <c r="G33" s="3">
        <v>91500</v>
      </c>
      <c r="H33" s="3">
        <v>25.26</v>
      </c>
      <c r="I33" s="3">
        <v>112051.01</v>
      </c>
      <c r="J33" s="2">
        <f t="shared" si="0"/>
        <v>0.2246012021857923</v>
      </c>
    </row>
    <row r="34" spans="1:10" x14ac:dyDescent="0.35">
      <c r="A34" t="s">
        <v>10</v>
      </c>
      <c r="B34" t="s">
        <v>18</v>
      </c>
      <c r="C34" t="s">
        <v>23</v>
      </c>
      <c r="D34" t="s">
        <v>31</v>
      </c>
      <c r="E34" s="1">
        <v>44280</v>
      </c>
      <c r="F34" s="3">
        <v>1000</v>
      </c>
      <c r="G34" s="3">
        <v>53000</v>
      </c>
      <c r="H34" s="3">
        <v>44.94</v>
      </c>
      <c r="I34" s="3">
        <v>53671</v>
      </c>
      <c r="J34" s="2">
        <f t="shared" si="0"/>
        <v>1.2660377358490566E-2</v>
      </c>
    </row>
    <row r="35" spans="1:10" x14ac:dyDescent="0.35">
      <c r="A35" t="s">
        <v>9</v>
      </c>
      <c r="B35" t="s">
        <v>17</v>
      </c>
      <c r="C35" t="s">
        <v>24</v>
      </c>
      <c r="D35" t="s">
        <v>36</v>
      </c>
      <c r="E35" s="1">
        <v>44415</v>
      </c>
      <c r="F35" s="3">
        <v>3000</v>
      </c>
      <c r="G35" s="3">
        <v>144000</v>
      </c>
      <c r="H35" s="3">
        <v>37.76</v>
      </c>
      <c r="I35" s="3">
        <v>189475.04</v>
      </c>
      <c r="J35" s="2">
        <f t="shared" si="0"/>
        <v>0.31579888888888896</v>
      </c>
    </row>
    <row r="36" spans="1:10" x14ac:dyDescent="0.35">
      <c r="A36" t="s">
        <v>15</v>
      </c>
      <c r="B36" t="s">
        <v>18</v>
      </c>
      <c r="C36" t="s">
        <v>30</v>
      </c>
      <c r="D36" t="s">
        <v>36</v>
      </c>
      <c r="E36" s="1">
        <v>44615</v>
      </c>
      <c r="F36" s="3">
        <v>2000</v>
      </c>
      <c r="G36" s="3">
        <v>82000</v>
      </c>
      <c r="H36" s="3">
        <v>61.97</v>
      </c>
      <c r="I36" s="3">
        <v>111469.62</v>
      </c>
      <c r="J36" s="2">
        <f t="shared" si="0"/>
        <v>0.35938560975609751</v>
      </c>
    </row>
    <row r="37" spans="1:10" x14ac:dyDescent="0.35">
      <c r="A37" t="s">
        <v>7</v>
      </c>
      <c r="B37" t="s">
        <v>19</v>
      </c>
      <c r="C37" t="s">
        <v>23</v>
      </c>
      <c r="D37" t="s">
        <v>33</v>
      </c>
      <c r="E37" s="1">
        <v>44742</v>
      </c>
      <c r="F37" s="3">
        <v>1000</v>
      </c>
      <c r="G37" s="3">
        <v>37000</v>
      </c>
      <c r="H37" s="3">
        <v>11.33</v>
      </c>
      <c r="I37" s="3">
        <v>41799.29</v>
      </c>
      <c r="J37" s="2">
        <f t="shared" si="0"/>
        <v>0.12971054054054057</v>
      </c>
    </row>
    <row r="38" spans="1:10" x14ac:dyDescent="0.35">
      <c r="A38" t="s">
        <v>12</v>
      </c>
      <c r="B38" t="s">
        <v>16</v>
      </c>
      <c r="C38" t="s">
        <v>22</v>
      </c>
      <c r="D38" t="s">
        <v>36</v>
      </c>
      <c r="E38" s="1">
        <v>43963</v>
      </c>
      <c r="F38" s="3">
        <v>500</v>
      </c>
      <c r="G38" s="3">
        <v>31500</v>
      </c>
      <c r="H38" s="3">
        <v>14.83</v>
      </c>
      <c r="I38" s="3">
        <v>29326.74</v>
      </c>
      <c r="J38" s="2">
        <f t="shared" si="0"/>
        <v>-6.8992380952380902E-2</v>
      </c>
    </row>
    <row r="39" spans="1:10" x14ac:dyDescent="0.35">
      <c r="A39" t="s">
        <v>11</v>
      </c>
      <c r="B39" t="s">
        <v>19</v>
      </c>
      <c r="C39" t="s">
        <v>22</v>
      </c>
      <c r="D39" t="s">
        <v>33</v>
      </c>
      <c r="E39" s="1">
        <v>44069</v>
      </c>
      <c r="F39" s="3">
        <v>3000</v>
      </c>
      <c r="G39" s="3">
        <v>180000</v>
      </c>
      <c r="H39" s="3">
        <v>44.14</v>
      </c>
      <c r="I39" s="3">
        <v>192159.78</v>
      </c>
      <c r="J39" s="2">
        <f t="shared" si="0"/>
        <v>6.7554333333333327E-2</v>
      </c>
    </row>
    <row r="40" spans="1:10" x14ac:dyDescent="0.35">
      <c r="A40" t="s">
        <v>8</v>
      </c>
      <c r="B40" t="s">
        <v>18</v>
      </c>
      <c r="C40" t="s">
        <v>21</v>
      </c>
      <c r="D40" t="s">
        <v>33</v>
      </c>
      <c r="E40" s="1">
        <v>45052</v>
      </c>
      <c r="F40" s="3">
        <v>2000</v>
      </c>
      <c r="G40" s="3">
        <v>54000</v>
      </c>
      <c r="H40" s="3">
        <v>47.05</v>
      </c>
      <c r="I40" s="3">
        <v>62058.14</v>
      </c>
      <c r="J40" s="2">
        <f t="shared" si="0"/>
        <v>0.14922481481481481</v>
      </c>
    </row>
    <row r="41" spans="1:10" x14ac:dyDescent="0.35">
      <c r="A41" t="s">
        <v>12</v>
      </c>
      <c r="B41" t="s">
        <v>18</v>
      </c>
      <c r="C41" t="s">
        <v>25</v>
      </c>
      <c r="D41" t="s">
        <v>33</v>
      </c>
      <c r="E41" s="1">
        <v>44740</v>
      </c>
      <c r="F41" s="3">
        <v>3000</v>
      </c>
      <c r="G41" s="3">
        <v>111000</v>
      </c>
      <c r="H41" s="3">
        <v>50.52</v>
      </c>
      <c r="I41" s="3">
        <v>145335.57999999999</v>
      </c>
      <c r="J41" s="2">
        <f t="shared" si="0"/>
        <v>0.30932954954954944</v>
      </c>
    </row>
    <row r="42" spans="1:10" x14ac:dyDescent="0.35">
      <c r="A42" t="s">
        <v>11</v>
      </c>
      <c r="B42" t="s">
        <v>20</v>
      </c>
      <c r="C42" t="s">
        <v>30</v>
      </c>
      <c r="D42" t="s">
        <v>32</v>
      </c>
      <c r="E42" s="1">
        <v>43845</v>
      </c>
      <c r="F42" s="3">
        <v>1500</v>
      </c>
      <c r="G42" s="3">
        <v>100500</v>
      </c>
      <c r="H42" s="3">
        <v>32.020000000000003</v>
      </c>
      <c r="I42" s="3">
        <v>145717.70000000001</v>
      </c>
      <c r="J42" s="2">
        <f t="shared" si="0"/>
        <v>0.44992736318407972</v>
      </c>
    </row>
    <row r="43" spans="1:10" x14ac:dyDescent="0.35">
      <c r="A43" t="s">
        <v>11</v>
      </c>
      <c r="B43" t="s">
        <v>19</v>
      </c>
      <c r="C43" t="s">
        <v>22</v>
      </c>
      <c r="D43" t="s">
        <v>33</v>
      </c>
      <c r="E43" s="1">
        <v>44526</v>
      </c>
      <c r="F43" s="3">
        <v>1500</v>
      </c>
      <c r="G43" s="3">
        <v>66000</v>
      </c>
      <c r="H43" s="3">
        <v>52.7</v>
      </c>
      <c r="I43" s="3">
        <v>61385.02</v>
      </c>
      <c r="J43" s="2">
        <f t="shared" si="0"/>
        <v>-6.9923939393939441E-2</v>
      </c>
    </row>
    <row r="44" spans="1:10" x14ac:dyDescent="0.35">
      <c r="A44" t="s">
        <v>14</v>
      </c>
      <c r="B44" t="s">
        <v>16</v>
      </c>
      <c r="C44" t="s">
        <v>30</v>
      </c>
      <c r="D44" t="s">
        <v>31</v>
      </c>
      <c r="E44" s="1">
        <v>45319</v>
      </c>
      <c r="F44" s="3">
        <v>500</v>
      </c>
      <c r="G44" s="3">
        <v>9000</v>
      </c>
      <c r="H44" s="3">
        <v>10.67</v>
      </c>
      <c r="I44" s="3">
        <v>8348.64</v>
      </c>
      <c r="J44" s="2">
        <f t="shared" si="0"/>
        <v>-7.2373333333333401E-2</v>
      </c>
    </row>
    <row r="45" spans="1:10" x14ac:dyDescent="0.35">
      <c r="A45" t="s">
        <v>12</v>
      </c>
      <c r="B45" t="s">
        <v>20</v>
      </c>
      <c r="C45" t="s">
        <v>24</v>
      </c>
      <c r="D45" t="s">
        <v>31</v>
      </c>
      <c r="E45" s="1">
        <v>44427</v>
      </c>
      <c r="F45" s="3">
        <v>1500</v>
      </c>
      <c r="G45" s="3">
        <v>72000</v>
      </c>
      <c r="H45" s="3">
        <v>13.63</v>
      </c>
      <c r="I45" s="3">
        <v>101593.26</v>
      </c>
      <c r="J45" s="2">
        <f t="shared" si="0"/>
        <v>0.41101749999999992</v>
      </c>
    </row>
    <row r="46" spans="1:10" x14ac:dyDescent="0.35">
      <c r="A46" t="s">
        <v>14</v>
      </c>
      <c r="B46" t="s">
        <v>19</v>
      </c>
      <c r="C46" t="s">
        <v>23</v>
      </c>
      <c r="D46" t="s">
        <v>33</v>
      </c>
      <c r="E46" s="1">
        <v>44354</v>
      </c>
      <c r="F46" s="3">
        <v>2000</v>
      </c>
      <c r="G46" s="3">
        <v>100000</v>
      </c>
      <c r="H46" s="3">
        <v>22.88</v>
      </c>
      <c r="I46" s="3">
        <v>98025.59</v>
      </c>
      <c r="J46" s="2">
        <f t="shared" si="0"/>
        <v>-1.9744100000000035E-2</v>
      </c>
    </row>
    <row r="47" spans="1:10" x14ac:dyDescent="0.35">
      <c r="A47" t="s">
        <v>13</v>
      </c>
      <c r="B47" t="s">
        <v>20</v>
      </c>
      <c r="C47" t="s">
        <v>30</v>
      </c>
      <c r="D47" t="s">
        <v>36</v>
      </c>
      <c r="E47" s="1">
        <v>44589</v>
      </c>
      <c r="F47" s="3">
        <v>2000</v>
      </c>
      <c r="G47" s="3">
        <v>84000</v>
      </c>
      <c r="H47" s="3">
        <v>23.89</v>
      </c>
      <c r="I47" s="3">
        <v>122409.48</v>
      </c>
      <c r="J47" s="2">
        <f t="shared" si="0"/>
        <v>0.45725571428571421</v>
      </c>
    </row>
    <row r="48" spans="1:10" x14ac:dyDescent="0.35">
      <c r="A48" t="s">
        <v>11</v>
      </c>
      <c r="B48" t="s">
        <v>18</v>
      </c>
      <c r="C48" t="s">
        <v>29</v>
      </c>
      <c r="D48" t="s">
        <v>31</v>
      </c>
      <c r="E48" s="1">
        <v>43910</v>
      </c>
      <c r="F48" s="3">
        <v>1000</v>
      </c>
      <c r="G48" s="3">
        <v>65000</v>
      </c>
      <c r="H48" s="3">
        <v>59.69</v>
      </c>
      <c r="I48" s="3">
        <v>89316.27</v>
      </c>
      <c r="J48" s="2">
        <f t="shared" si="0"/>
        <v>0.3740964615384616</v>
      </c>
    </row>
    <row r="49" spans="1:10" x14ac:dyDescent="0.35">
      <c r="A49" t="s">
        <v>8</v>
      </c>
      <c r="B49" t="s">
        <v>19</v>
      </c>
      <c r="C49" t="s">
        <v>24</v>
      </c>
      <c r="D49" t="s">
        <v>33</v>
      </c>
      <c r="E49" s="1">
        <v>45108</v>
      </c>
      <c r="F49" s="3">
        <v>1000</v>
      </c>
      <c r="G49" s="3">
        <v>25000</v>
      </c>
      <c r="H49" s="3">
        <v>48.8</v>
      </c>
      <c r="I49" s="3">
        <v>34919.14</v>
      </c>
      <c r="J49" s="2">
        <f t="shared" si="0"/>
        <v>0.3967656</v>
      </c>
    </row>
    <row r="50" spans="1:10" x14ac:dyDescent="0.35">
      <c r="A50" t="s">
        <v>15</v>
      </c>
      <c r="B50" t="s">
        <v>20</v>
      </c>
      <c r="C50" t="s">
        <v>21</v>
      </c>
      <c r="D50" t="s">
        <v>36</v>
      </c>
      <c r="E50" s="1">
        <v>44326</v>
      </c>
      <c r="F50" s="3">
        <v>1500</v>
      </c>
      <c r="G50" s="3">
        <v>76500</v>
      </c>
      <c r="H50" s="3">
        <v>64.400000000000006</v>
      </c>
      <c r="I50" s="3">
        <v>69264.240000000005</v>
      </c>
      <c r="J50" s="2">
        <f t="shared" si="0"/>
        <v>-9.4585098039215623E-2</v>
      </c>
    </row>
    <row r="51" spans="1:10" x14ac:dyDescent="0.35">
      <c r="A51" t="s">
        <v>15</v>
      </c>
      <c r="B51" t="s">
        <v>20</v>
      </c>
      <c r="C51" t="s">
        <v>25</v>
      </c>
      <c r="D51" t="s">
        <v>35</v>
      </c>
      <c r="E51" s="1">
        <v>45206</v>
      </c>
      <c r="F51" s="3">
        <v>3000</v>
      </c>
      <c r="G51" s="3">
        <v>66000</v>
      </c>
      <c r="H51" s="3">
        <v>35.74</v>
      </c>
      <c r="I51" s="3">
        <v>97842.2</v>
      </c>
      <c r="J51" s="2">
        <f t="shared" si="0"/>
        <v>0.4824575757575757</v>
      </c>
    </row>
    <row r="52" spans="1:10" x14ac:dyDescent="0.35">
      <c r="A52" t="s">
        <v>15</v>
      </c>
      <c r="B52" t="s">
        <v>16</v>
      </c>
      <c r="C52" t="s">
        <v>30</v>
      </c>
      <c r="D52" t="s">
        <v>32</v>
      </c>
      <c r="E52" s="1">
        <v>45055</v>
      </c>
      <c r="F52" s="3">
        <v>500</v>
      </c>
      <c r="G52" s="3">
        <v>13500</v>
      </c>
      <c r="H52" s="3">
        <v>22.74</v>
      </c>
      <c r="I52" s="3">
        <v>11001.12</v>
      </c>
      <c r="J52" s="2">
        <f t="shared" si="0"/>
        <v>-0.18510222222222217</v>
      </c>
    </row>
    <row r="53" spans="1:10" x14ac:dyDescent="0.35">
      <c r="A53" t="s">
        <v>15</v>
      </c>
      <c r="B53" t="s">
        <v>17</v>
      </c>
      <c r="C53" t="s">
        <v>21</v>
      </c>
      <c r="D53" t="s">
        <v>32</v>
      </c>
      <c r="E53" s="1">
        <v>45229</v>
      </c>
      <c r="F53" s="3">
        <v>1500</v>
      </c>
      <c r="G53" s="3">
        <v>31500</v>
      </c>
      <c r="H53" s="3">
        <v>66.760000000000005</v>
      </c>
      <c r="I53" s="3">
        <v>46296.49</v>
      </c>
      <c r="J53" s="2">
        <f t="shared" si="0"/>
        <v>0.46972984126984119</v>
      </c>
    </row>
    <row r="54" spans="1:10" x14ac:dyDescent="0.35">
      <c r="A54" t="s">
        <v>13</v>
      </c>
      <c r="B54" t="s">
        <v>16</v>
      </c>
      <c r="C54" t="s">
        <v>22</v>
      </c>
      <c r="D54" t="s">
        <v>34</v>
      </c>
      <c r="E54" s="1">
        <v>43864</v>
      </c>
      <c r="F54" s="3">
        <v>1500</v>
      </c>
      <c r="G54" s="3">
        <v>100500</v>
      </c>
      <c r="H54" s="3">
        <v>53</v>
      </c>
      <c r="I54" s="3">
        <v>99550.28</v>
      </c>
      <c r="J54" s="2">
        <f t="shared" si="0"/>
        <v>-9.4499502487562313E-3</v>
      </c>
    </row>
    <row r="55" spans="1:10" x14ac:dyDescent="0.35">
      <c r="A55" t="s">
        <v>9</v>
      </c>
      <c r="B55" t="s">
        <v>18</v>
      </c>
      <c r="C55" t="s">
        <v>28</v>
      </c>
      <c r="D55" t="s">
        <v>36</v>
      </c>
      <c r="E55" s="1">
        <v>45310</v>
      </c>
      <c r="F55" s="3">
        <v>1000</v>
      </c>
      <c r="G55" s="3">
        <v>18000</v>
      </c>
      <c r="H55" s="3">
        <v>69.22</v>
      </c>
      <c r="I55" s="3">
        <v>18180.22</v>
      </c>
      <c r="J55" s="2">
        <f t="shared" si="0"/>
        <v>1.0012222222222287E-2</v>
      </c>
    </row>
    <row r="56" spans="1:10" x14ac:dyDescent="0.35">
      <c r="A56" t="s">
        <v>10</v>
      </c>
      <c r="B56" t="s">
        <v>17</v>
      </c>
      <c r="C56" t="s">
        <v>21</v>
      </c>
      <c r="D56" t="s">
        <v>31</v>
      </c>
      <c r="E56" s="1">
        <v>44606</v>
      </c>
      <c r="F56" s="3">
        <v>1500</v>
      </c>
      <c r="G56" s="3">
        <v>63000</v>
      </c>
      <c r="H56" s="3">
        <v>27.08</v>
      </c>
      <c r="I56" s="3">
        <v>77295.91</v>
      </c>
      <c r="J56" s="2">
        <f t="shared" si="0"/>
        <v>0.2269192063492064</v>
      </c>
    </row>
    <row r="57" spans="1:10" x14ac:dyDescent="0.35">
      <c r="A57" t="s">
        <v>11</v>
      </c>
      <c r="B57" t="s">
        <v>17</v>
      </c>
      <c r="C57" t="s">
        <v>25</v>
      </c>
      <c r="D57" t="s">
        <v>33</v>
      </c>
      <c r="E57" s="1">
        <v>45153</v>
      </c>
      <c r="F57" s="3">
        <v>2000</v>
      </c>
      <c r="G57" s="3">
        <v>48000</v>
      </c>
      <c r="H57" s="3">
        <v>25.26</v>
      </c>
      <c r="I57" s="3">
        <v>67739.570000000007</v>
      </c>
      <c r="J57" s="2">
        <f t="shared" si="0"/>
        <v>0.41124104166666681</v>
      </c>
    </row>
    <row r="58" spans="1:10" x14ac:dyDescent="0.35">
      <c r="A58" t="s">
        <v>9</v>
      </c>
      <c r="B58" t="s">
        <v>20</v>
      </c>
      <c r="C58" t="s">
        <v>23</v>
      </c>
      <c r="D58" t="s">
        <v>35</v>
      </c>
      <c r="E58" s="1">
        <v>44053</v>
      </c>
      <c r="F58" s="3">
        <v>500</v>
      </c>
      <c r="G58" s="3">
        <v>30000</v>
      </c>
      <c r="H58" s="3">
        <v>10.5</v>
      </c>
      <c r="I58" s="3">
        <v>30704.400000000001</v>
      </c>
      <c r="J58" s="2">
        <f t="shared" si="0"/>
        <v>2.3480000000000049E-2</v>
      </c>
    </row>
    <row r="59" spans="1:10" x14ac:dyDescent="0.35">
      <c r="A59" t="s">
        <v>7</v>
      </c>
      <c r="B59" t="s">
        <v>16</v>
      </c>
      <c r="C59" t="s">
        <v>21</v>
      </c>
      <c r="D59" t="s">
        <v>31</v>
      </c>
      <c r="E59" s="1">
        <v>44868</v>
      </c>
      <c r="F59" s="3">
        <v>1500</v>
      </c>
      <c r="G59" s="3">
        <v>49500</v>
      </c>
      <c r="H59" s="3">
        <v>44.5</v>
      </c>
      <c r="I59" s="3">
        <v>44109.58</v>
      </c>
      <c r="J59" s="2">
        <f t="shared" si="0"/>
        <v>-0.1088973737373737</v>
      </c>
    </row>
    <row r="60" spans="1:10" x14ac:dyDescent="0.35">
      <c r="A60" t="s">
        <v>9</v>
      </c>
      <c r="B60" t="s">
        <v>19</v>
      </c>
      <c r="C60" t="s">
        <v>28</v>
      </c>
      <c r="D60" t="s">
        <v>34</v>
      </c>
      <c r="E60" s="1">
        <v>44551</v>
      </c>
      <c r="F60" s="3">
        <v>1000</v>
      </c>
      <c r="G60" s="3">
        <v>44000</v>
      </c>
      <c r="H60" s="3">
        <v>13.35</v>
      </c>
      <c r="I60" s="3">
        <v>69375.429999999993</v>
      </c>
      <c r="J60" s="2">
        <f t="shared" si="0"/>
        <v>0.57671431818181806</v>
      </c>
    </row>
    <row r="61" spans="1:10" x14ac:dyDescent="0.35">
      <c r="A61" t="s">
        <v>10</v>
      </c>
      <c r="B61" t="s">
        <v>16</v>
      </c>
      <c r="C61" t="s">
        <v>29</v>
      </c>
      <c r="D61" t="s">
        <v>34</v>
      </c>
      <c r="E61" s="1">
        <v>44610</v>
      </c>
      <c r="F61" s="3">
        <v>1500</v>
      </c>
      <c r="G61" s="3">
        <v>63000</v>
      </c>
      <c r="H61" s="3">
        <v>62.56</v>
      </c>
      <c r="I61" s="3">
        <v>97542.98</v>
      </c>
      <c r="J61" s="2">
        <f t="shared" si="0"/>
        <v>0.54830126984126981</v>
      </c>
    </row>
    <row r="62" spans="1:10" x14ac:dyDescent="0.35">
      <c r="A62" t="s">
        <v>11</v>
      </c>
      <c r="B62" t="s">
        <v>20</v>
      </c>
      <c r="C62" t="s">
        <v>28</v>
      </c>
      <c r="D62" t="s">
        <v>31</v>
      </c>
      <c r="E62" s="1">
        <v>44824</v>
      </c>
      <c r="F62" s="3">
        <v>500</v>
      </c>
      <c r="G62" s="3">
        <v>17500</v>
      </c>
      <c r="H62" s="3">
        <v>31.62</v>
      </c>
      <c r="I62" s="3">
        <v>21592.32</v>
      </c>
      <c r="J62" s="2">
        <f t="shared" si="0"/>
        <v>0.23384685714285713</v>
      </c>
    </row>
    <row r="63" spans="1:10" x14ac:dyDescent="0.35">
      <c r="A63" t="s">
        <v>15</v>
      </c>
      <c r="B63" t="s">
        <v>20</v>
      </c>
      <c r="C63" t="s">
        <v>30</v>
      </c>
      <c r="D63" t="s">
        <v>32</v>
      </c>
      <c r="E63" s="1">
        <v>45056</v>
      </c>
      <c r="F63" s="3">
        <v>1000</v>
      </c>
      <c r="G63" s="3">
        <v>27000</v>
      </c>
      <c r="H63" s="3">
        <v>54.42</v>
      </c>
      <c r="I63" s="3">
        <v>24731.03</v>
      </c>
      <c r="J63" s="2">
        <f t="shared" si="0"/>
        <v>-8.4035925925925972E-2</v>
      </c>
    </row>
    <row r="64" spans="1:10" x14ac:dyDescent="0.35">
      <c r="A64" t="s">
        <v>9</v>
      </c>
      <c r="B64" t="s">
        <v>19</v>
      </c>
      <c r="C64" t="s">
        <v>22</v>
      </c>
      <c r="D64" t="s">
        <v>33</v>
      </c>
      <c r="E64" s="1">
        <v>45099</v>
      </c>
      <c r="F64" s="3">
        <v>2000</v>
      </c>
      <c r="G64" s="3">
        <v>50000</v>
      </c>
      <c r="H64" s="3">
        <v>39.86</v>
      </c>
      <c r="I64" s="3">
        <v>53708.05</v>
      </c>
      <c r="J64" s="2">
        <f t="shared" si="0"/>
        <v>7.416100000000006E-2</v>
      </c>
    </row>
    <row r="65" spans="1:10" x14ac:dyDescent="0.35">
      <c r="A65" t="s">
        <v>9</v>
      </c>
      <c r="B65" t="s">
        <v>16</v>
      </c>
      <c r="C65" t="s">
        <v>23</v>
      </c>
      <c r="D65" t="s">
        <v>32</v>
      </c>
      <c r="E65" s="1">
        <v>44576</v>
      </c>
      <c r="F65" s="3">
        <v>3000</v>
      </c>
      <c r="G65" s="3">
        <v>129000</v>
      </c>
      <c r="H65" s="3">
        <v>16.78</v>
      </c>
      <c r="I65" s="3">
        <v>175523.98</v>
      </c>
      <c r="J65" s="2">
        <f t="shared" si="0"/>
        <v>0.36065100775193809</v>
      </c>
    </row>
    <row r="66" spans="1:10" x14ac:dyDescent="0.35">
      <c r="A66" t="s">
        <v>14</v>
      </c>
      <c r="B66" t="s">
        <v>17</v>
      </c>
      <c r="C66" t="s">
        <v>24</v>
      </c>
      <c r="D66" t="s">
        <v>32</v>
      </c>
      <c r="E66" s="1">
        <v>43954</v>
      </c>
      <c r="F66" s="3">
        <v>3000</v>
      </c>
      <c r="G66" s="3">
        <v>192000</v>
      </c>
      <c r="H66" s="3">
        <v>35.630000000000003</v>
      </c>
      <c r="I66" s="3">
        <v>265383.2</v>
      </c>
      <c r="J66" s="2">
        <f t="shared" si="0"/>
        <v>0.38220416666666673</v>
      </c>
    </row>
    <row r="67" spans="1:10" x14ac:dyDescent="0.35">
      <c r="A67" t="s">
        <v>6</v>
      </c>
      <c r="B67" t="s">
        <v>18</v>
      </c>
      <c r="C67" t="s">
        <v>26</v>
      </c>
      <c r="D67" t="s">
        <v>35</v>
      </c>
      <c r="E67" s="1">
        <v>45079</v>
      </c>
      <c r="F67" s="3">
        <v>1500</v>
      </c>
      <c r="G67" s="3">
        <v>39000</v>
      </c>
      <c r="H67" s="3">
        <v>67.81</v>
      </c>
      <c r="I67" s="3">
        <v>41591.089999999997</v>
      </c>
      <c r="J67" s="2">
        <f t="shared" ref="J67:J130" si="1">(I67-G67)/G67</f>
        <v>6.6438205128205044E-2</v>
      </c>
    </row>
    <row r="68" spans="1:10" x14ac:dyDescent="0.35">
      <c r="A68" t="s">
        <v>15</v>
      </c>
      <c r="B68" t="s">
        <v>18</v>
      </c>
      <c r="C68" t="s">
        <v>24</v>
      </c>
      <c r="D68" t="s">
        <v>33</v>
      </c>
      <c r="E68" s="1">
        <v>44223</v>
      </c>
      <c r="F68" s="3">
        <v>500</v>
      </c>
      <c r="G68" s="3">
        <v>27500</v>
      </c>
      <c r="H68" s="3">
        <v>45.42</v>
      </c>
      <c r="I68" s="3">
        <v>34206.559999999998</v>
      </c>
      <c r="J68" s="2">
        <f t="shared" si="1"/>
        <v>0.243874909090909</v>
      </c>
    </row>
    <row r="69" spans="1:10" x14ac:dyDescent="0.35">
      <c r="A69" t="s">
        <v>6</v>
      </c>
      <c r="B69" t="s">
        <v>19</v>
      </c>
      <c r="C69" t="s">
        <v>25</v>
      </c>
      <c r="D69" t="s">
        <v>33</v>
      </c>
      <c r="E69" s="1">
        <v>44567</v>
      </c>
      <c r="F69" s="3">
        <v>1000</v>
      </c>
      <c r="G69" s="3">
        <v>43000</v>
      </c>
      <c r="H69" s="3">
        <v>40.42</v>
      </c>
      <c r="I69" s="3">
        <v>49468.9</v>
      </c>
      <c r="J69" s="2">
        <f t="shared" si="1"/>
        <v>0.15043953488372097</v>
      </c>
    </row>
    <row r="70" spans="1:10" x14ac:dyDescent="0.35">
      <c r="A70" t="s">
        <v>13</v>
      </c>
      <c r="B70" t="s">
        <v>16</v>
      </c>
      <c r="C70" t="s">
        <v>28</v>
      </c>
      <c r="D70" t="s">
        <v>31</v>
      </c>
      <c r="E70" s="1">
        <v>44893</v>
      </c>
      <c r="F70" s="3">
        <v>1000</v>
      </c>
      <c r="G70" s="3">
        <v>32000</v>
      </c>
      <c r="H70" s="3">
        <v>19.170000000000002</v>
      </c>
      <c r="I70" s="3">
        <v>33305.65</v>
      </c>
      <c r="J70" s="2">
        <f t="shared" si="1"/>
        <v>4.0801562500000048E-2</v>
      </c>
    </row>
    <row r="71" spans="1:10" x14ac:dyDescent="0.35">
      <c r="A71" t="s">
        <v>11</v>
      </c>
      <c r="B71" t="s">
        <v>17</v>
      </c>
      <c r="C71" t="s">
        <v>23</v>
      </c>
      <c r="D71" t="s">
        <v>33</v>
      </c>
      <c r="E71" s="1">
        <v>44592</v>
      </c>
      <c r="F71" s="3">
        <v>500</v>
      </c>
      <c r="G71" s="3">
        <v>21000</v>
      </c>
      <c r="H71" s="3">
        <v>63.17</v>
      </c>
      <c r="I71" s="3">
        <v>28074.6</v>
      </c>
      <c r="J71" s="2">
        <f t="shared" si="1"/>
        <v>0.33688571428571423</v>
      </c>
    </row>
    <row r="72" spans="1:10" x14ac:dyDescent="0.35">
      <c r="A72" t="s">
        <v>9</v>
      </c>
      <c r="B72" t="s">
        <v>16</v>
      </c>
      <c r="C72" t="s">
        <v>25</v>
      </c>
      <c r="D72" t="s">
        <v>33</v>
      </c>
      <c r="E72" s="1">
        <v>45223</v>
      </c>
      <c r="F72" s="3">
        <v>1000</v>
      </c>
      <c r="G72" s="3">
        <v>21000</v>
      </c>
      <c r="H72" s="3">
        <v>60.55</v>
      </c>
      <c r="I72" s="3">
        <v>18282.37</v>
      </c>
      <c r="J72" s="2">
        <f t="shared" si="1"/>
        <v>-0.12941095238095243</v>
      </c>
    </row>
    <row r="73" spans="1:10" x14ac:dyDescent="0.35">
      <c r="A73" t="s">
        <v>6</v>
      </c>
      <c r="B73" t="s">
        <v>18</v>
      </c>
      <c r="C73" t="s">
        <v>25</v>
      </c>
      <c r="D73" t="s">
        <v>35</v>
      </c>
      <c r="E73" s="1">
        <v>45251</v>
      </c>
      <c r="F73" s="3">
        <v>1500</v>
      </c>
      <c r="G73" s="3">
        <v>30000</v>
      </c>
      <c r="H73" s="3">
        <v>48.74</v>
      </c>
      <c r="I73" s="3">
        <v>32266.25</v>
      </c>
      <c r="J73" s="2">
        <f t="shared" si="1"/>
        <v>7.554166666666666E-2</v>
      </c>
    </row>
    <row r="74" spans="1:10" x14ac:dyDescent="0.35">
      <c r="A74" t="s">
        <v>12</v>
      </c>
      <c r="B74" t="s">
        <v>19</v>
      </c>
      <c r="C74" t="s">
        <v>24</v>
      </c>
      <c r="D74" t="s">
        <v>33</v>
      </c>
      <c r="E74" s="1">
        <v>44433</v>
      </c>
      <c r="F74" s="3">
        <v>1000</v>
      </c>
      <c r="G74" s="3">
        <v>48000</v>
      </c>
      <c r="H74" s="3">
        <v>18.079999999999998</v>
      </c>
      <c r="I74" s="3">
        <v>66337.850000000006</v>
      </c>
      <c r="J74" s="2">
        <f t="shared" si="1"/>
        <v>0.38203854166666679</v>
      </c>
    </row>
    <row r="75" spans="1:10" x14ac:dyDescent="0.35">
      <c r="A75" t="s">
        <v>14</v>
      </c>
      <c r="B75" t="s">
        <v>16</v>
      </c>
      <c r="C75" t="s">
        <v>21</v>
      </c>
      <c r="D75" t="s">
        <v>35</v>
      </c>
      <c r="E75" s="1">
        <v>44443</v>
      </c>
      <c r="F75" s="3">
        <v>1000</v>
      </c>
      <c r="G75" s="3">
        <v>47000</v>
      </c>
      <c r="H75" s="3">
        <v>15.62</v>
      </c>
      <c r="I75" s="3">
        <v>55774.35</v>
      </c>
      <c r="J75" s="2">
        <f t="shared" si="1"/>
        <v>0.1866882978723404</v>
      </c>
    </row>
    <row r="76" spans="1:10" x14ac:dyDescent="0.35">
      <c r="A76" t="s">
        <v>13</v>
      </c>
      <c r="B76" t="s">
        <v>18</v>
      </c>
      <c r="C76" t="s">
        <v>24</v>
      </c>
      <c r="D76" t="s">
        <v>32</v>
      </c>
      <c r="E76" s="1">
        <v>44761</v>
      </c>
      <c r="F76" s="3">
        <v>1000</v>
      </c>
      <c r="G76" s="3">
        <v>37000</v>
      </c>
      <c r="H76" s="3">
        <v>20.59</v>
      </c>
      <c r="I76" s="3">
        <v>31591.59</v>
      </c>
      <c r="J76" s="2">
        <f t="shared" si="1"/>
        <v>-0.14617324324324324</v>
      </c>
    </row>
    <row r="77" spans="1:10" x14ac:dyDescent="0.35">
      <c r="A77" t="s">
        <v>8</v>
      </c>
      <c r="B77" t="s">
        <v>19</v>
      </c>
      <c r="C77" t="s">
        <v>28</v>
      </c>
      <c r="D77" t="s">
        <v>31</v>
      </c>
      <c r="E77" s="1">
        <v>44687</v>
      </c>
      <c r="F77" s="3">
        <v>2000</v>
      </c>
      <c r="G77" s="3">
        <v>78000</v>
      </c>
      <c r="H77" s="3">
        <v>38.14</v>
      </c>
      <c r="I77" s="3">
        <v>100865.84</v>
      </c>
      <c r="J77" s="2">
        <f t="shared" si="1"/>
        <v>0.29315179487179482</v>
      </c>
    </row>
    <row r="78" spans="1:10" x14ac:dyDescent="0.35">
      <c r="A78" t="s">
        <v>14</v>
      </c>
      <c r="B78" t="s">
        <v>20</v>
      </c>
      <c r="C78" t="s">
        <v>30</v>
      </c>
      <c r="D78" t="s">
        <v>32</v>
      </c>
      <c r="E78" s="1">
        <v>43864</v>
      </c>
      <c r="F78" s="3">
        <v>3000</v>
      </c>
      <c r="G78" s="3">
        <v>201000</v>
      </c>
      <c r="H78" s="3">
        <v>25.02</v>
      </c>
      <c r="I78" s="3">
        <v>308838.8</v>
      </c>
      <c r="J78" s="2">
        <f t="shared" si="1"/>
        <v>0.53651144278606955</v>
      </c>
    </row>
    <row r="79" spans="1:10" x14ac:dyDescent="0.35">
      <c r="A79" t="s">
        <v>8</v>
      </c>
      <c r="B79" t="s">
        <v>18</v>
      </c>
      <c r="C79" t="s">
        <v>28</v>
      </c>
      <c r="D79" t="s">
        <v>33</v>
      </c>
      <c r="E79" s="1">
        <v>44399</v>
      </c>
      <c r="F79" s="3">
        <v>3000</v>
      </c>
      <c r="G79" s="3">
        <v>147000</v>
      </c>
      <c r="H79" s="3">
        <v>54.74</v>
      </c>
      <c r="I79" s="3">
        <v>162808.76</v>
      </c>
      <c r="J79" s="2">
        <f t="shared" si="1"/>
        <v>0.10754258503401366</v>
      </c>
    </row>
    <row r="80" spans="1:10" x14ac:dyDescent="0.35">
      <c r="A80" t="s">
        <v>14</v>
      </c>
      <c r="B80" t="s">
        <v>19</v>
      </c>
      <c r="C80" t="s">
        <v>28</v>
      </c>
      <c r="D80" t="s">
        <v>33</v>
      </c>
      <c r="E80" s="1">
        <v>45220</v>
      </c>
      <c r="F80" s="3">
        <v>2000</v>
      </c>
      <c r="G80" s="3">
        <v>42000</v>
      </c>
      <c r="H80" s="3">
        <v>57.57</v>
      </c>
      <c r="I80" s="3">
        <v>59070.44</v>
      </c>
      <c r="J80" s="2">
        <f t="shared" si="1"/>
        <v>0.4064390476190477</v>
      </c>
    </row>
    <row r="81" spans="1:10" x14ac:dyDescent="0.35">
      <c r="A81" t="s">
        <v>15</v>
      </c>
      <c r="B81" t="s">
        <v>16</v>
      </c>
      <c r="C81" t="s">
        <v>30</v>
      </c>
      <c r="D81" t="s">
        <v>36</v>
      </c>
      <c r="E81" s="1">
        <v>44841</v>
      </c>
      <c r="F81" s="3">
        <v>3000</v>
      </c>
      <c r="G81" s="3">
        <v>102000</v>
      </c>
      <c r="H81" s="3">
        <v>44.43</v>
      </c>
      <c r="I81" s="3">
        <v>134814.23000000001</v>
      </c>
      <c r="J81" s="2">
        <f t="shared" si="1"/>
        <v>0.32170813725490205</v>
      </c>
    </row>
    <row r="82" spans="1:10" x14ac:dyDescent="0.35">
      <c r="A82" t="s">
        <v>11</v>
      </c>
      <c r="B82" t="s">
        <v>16</v>
      </c>
      <c r="C82" t="s">
        <v>25</v>
      </c>
      <c r="D82" t="s">
        <v>31</v>
      </c>
      <c r="E82" s="1">
        <v>44133</v>
      </c>
      <c r="F82" s="3">
        <v>500</v>
      </c>
      <c r="G82" s="3">
        <v>29000</v>
      </c>
      <c r="H82" s="3">
        <v>26.73</v>
      </c>
      <c r="I82" s="3">
        <v>46052.7</v>
      </c>
      <c r="J82" s="2">
        <f t="shared" si="1"/>
        <v>0.58802413793103436</v>
      </c>
    </row>
    <row r="83" spans="1:10" x14ac:dyDescent="0.35">
      <c r="A83" t="s">
        <v>7</v>
      </c>
      <c r="B83" t="s">
        <v>16</v>
      </c>
      <c r="C83" t="s">
        <v>26</v>
      </c>
      <c r="D83" t="s">
        <v>33</v>
      </c>
      <c r="E83" s="1">
        <v>44875</v>
      </c>
      <c r="F83" s="3">
        <v>1000</v>
      </c>
      <c r="G83" s="3">
        <v>33000</v>
      </c>
      <c r="H83" s="3">
        <v>54.89</v>
      </c>
      <c r="I83" s="3">
        <v>45288.01</v>
      </c>
      <c r="J83" s="2">
        <f t="shared" si="1"/>
        <v>0.37236393939393947</v>
      </c>
    </row>
    <row r="84" spans="1:10" x14ac:dyDescent="0.35">
      <c r="A84" t="s">
        <v>7</v>
      </c>
      <c r="B84" t="s">
        <v>20</v>
      </c>
      <c r="C84" t="s">
        <v>21</v>
      </c>
      <c r="D84" t="s">
        <v>33</v>
      </c>
      <c r="E84" s="1">
        <v>45062</v>
      </c>
      <c r="F84" s="3">
        <v>3000</v>
      </c>
      <c r="G84" s="3">
        <v>81000</v>
      </c>
      <c r="H84" s="3">
        <v>60.24</v>
      </c>
      <c r="I84" s="3">
        <v>87839.22</v>
      </c>
      <c r="J84" s="2">
        <f t="shared" si="1"/>
        <v>8.4434814814814824E-2</v>
      </c>
    </row>
    <row r="85" spans="1:10" x14ac:dyDescent="0.35">
      <c r="A85" t="s">
        <v>12</v>
      </c>
      <c r="B85" t="s">
        <v>16</v>
      </c>
      <c r="C85" t="s">
        <v>29</v>
      </c>
      <c r="D85" t="s">
        <v>35</v>
      </c>
      <c r="E85" s="1">
        <v>43986</v>
      </c>
      <c r="F85" s="3">
        <v>2000</v>
      </c>
      <c r="G85" s="3">
        <v>124000</v>
      </c>
      <c r="H85" s="3">
        <v>19.45</v>
      </c>
      <c r="I85" s="3">
        <v>166920.78</v>
      </c>
      <c r="J85" s="2">
        <f t="shared" si="1"/>
        <v>0.34613532258064517</v>
      </c>
    </row>
    <row r="86" spans="1:10" x14ac:dyDescent="0.35">
      <c r="A86" t="s">
        <v>11</v>
      </c>
      <c r="B86" t="s">
        <v>18</v>
      </c>
      <c r="C86" t="s">
        <v>24</v>
      </c>
      <c r="D86" t="s">
        <v>33</v>
      </c>
      <c r="E86" s="1">
        <v>45303</v>
      </c>
      <c r="F86" s="3">
        <v>1500</v>
      </c>
      <c r="G86" s="3">
        <v>28500</v>
      </c>
      <c r="H86" s="3">
        <v>42.42</v>
      </c>
      <c r="I86" s="3">
        <v>41237.42</v>
      </c>
      <c r="J86" s="2">
        <f t="shared" si="1"/>
        <v>0.44692701754385961</v>
      </c>
    </row>
    <row r="87" spans="1:10" x14ac:dyDescent="0.35">
      <c r="A87" t="s">
        <v>13</v>
      </c>
      <c r="B87" t="s">
        <v>19</v>
      </c>
      <c r="C87" t="s">
        <v>23</v>
      </c>
      <c r="D87" t="s">
        <v>33</v>
      </c>
      <c r="E87" s="1">
        <v>45203</v>
      </c>
      <c r="F87" s="3">
        <v>500</v>
      </c>
      <c r="G87" s="3">
        <v>11000</v>
      </c>
      <c r="H87" s="3">
        <v>46.13</v>
      </c>
      <c r="I87" s="3">
        <v>15408.53</v>
      </c>
      <c r="J87" s="2">
        <f t="shared" si="1"/>
        <v>0.4007754545454546</v>
      </c>
    </row>
    <row r="88" spans="1:10" x14ac:dyDescent="0.35">
      <c r="A88" t="s">
        <v>7</v>
      </c>
      <c r="B88" t="s">
        <v>17</v>
      </c>
      <c r="C88" t="s">
        <v>29</v>
      </c>
      <c r="D88" t="s">
        <v>33</v>
      </c>
      <c r="E88" s="1">
        <v>44688</v>
      </c>
      <c r="F88" s="3">
        <v>3000</v>
      </c>
      <c r="G88" s="3">
        <v>117000</v>
      </c>
      <c r="H88" s="3">
        <v>62.33</v>
      </c>
      <c r="I88" s="3">
        <v>173091.49</v>
      </c>
      <c r="J88" s="2">
        <f t="shared" si="1"/>
        <v>0.47941444444444437</v>
      </c>
    </row>
    <row r="89" spans="1:10" x14ac:dyDescent="0.35">
      <c r="A89" t="s">
        <v>10</v>
      </c>
      <c r="B89" t="s">
        <v>19</v>
      </c>
      <c r="C89" t="s">
        <v>30</v>
      </c>
      <c r="D89" t="s">
        <v>33</v>
      </c>
      <c r="E89" s="1">
        <v>44607</v>
      </c>
      <c r="F89" s="3">
        <v>2000</v>
      </c>
      <c r="G89" s="3">
        <v>84000</v>
      </c>
      <c r="H89" s="3">
        <v>33.92</v>
      </c>
      <c r="I89" s="3">
        <v>78561.31</v>
      </c>
      <c r="J89" s="2">
        <f t="shared" si="1"/>
        <v>-6.4746309523809553E-2</v>
      </c>
    </row>
    <row r="90" spans="1:10" x14ac:dyDescent="0.35">
      <c r="A90" t="s">
        <v>8</v>
      </c>
      <c r="B90" t="s">
        <v>20</v>
      </c>
      <c r="C90" t="s">
        <v>30</v>
      </c>
      <c r="D90" t="s">
        <v>31</v>
      </c>
      <c r="E90" s="1">
        <v>44774</v>
      </c>
      <c r="F90" s="3">
        <v>2000</v>
      </c>
      <c r="G90" s="3">
        <v>72000</v>
      </c>
      <c r="H90" s="3">
        <v>39.65</v>
      </c>
      <c r="I90" s="3">
        <v>81976.289999999994</v>
      </c>
      <c r="J90" s="2">
        <f t="shared" si="1"/>
        <v>0.13855958333333324</v>
      </c>
    </row>
    <row r="91" spans="1:10" x14ac:dyDescent="0.35">
      <c r="A91" t="s">
        <v>7</v>
      </c>
      <c r="B91" t="s">
        <v>16</v>
      </c>
      <c r="C91" t="s">
        <v>21</v>
      </c>
      <c r="D91" t="s">
        <v>32</v>
      </c>
      <c r="E91" s="1">
        <v>44906</v>
      </c>
      <c r="F91" s="3">
        <v>1000</v>
      </c>
      <c r="G91" s="3">
        <v>32000</v>
      </c>
      <c r="H91" s="3">
        <v>43.12</v>
      </c>
      <c r="I91" s="3">
        <v>44471.839999999997</v>
      </c>
      <c r="J91" s="2">
        <f t="shared" si="1"/>
        <v>0.3897449999999999</v>
      </c>
    </row>
    <row r="92" spans="1:10" x14ac:dyDescent="0.35">
      <c r="A92" t="s">
        <v>8</v>
      </c>
      <c r="B92" t="s">
        <v>20</v>
      </c>
      <c r="C92" t="s">
        <v>22</v>
      </c>
      <c r="D92" t="s">
        <v>36</v>
      </c>
      <c r="E92" s="1">
        <v>44362</v>
      </c>
      <c r="F92" s="3">
        <v>1000</v>
      </c>
      <c r="G92" s="3">
        <v>50000</v>
      </c>
      <c r="H92" s="3">
        <v>15.05</v>
      </c>
      <c r="I92" s="3">
        <v>52529.760000000002</v>
      </c>
      <c r="J92" s="2">
        <f t="shared" si="1"/>
        <v>5.0595200000000042E-2</v>
      </c>
    </row>
    <row r="93" spans="1:10" x14ac:dyDescent="0.35">
      <c r="A93" t="s">
        <v>15</v>
      </c>
      <c r="B93" t="s">
        <v>19</v>
      </c>
      <c r="C93" t="s">
        <v>22</v>
      </c>
      <c r="D93" t="s">
        <v>36</v>
      </c>
      <c r="E93" s="1">
        <v>44618</v>
      </c>
      <c r="F93" s="3">
        <v>2000</v>
      </c>
      <c r="G93" s="3">
        <v>82000</v>
      </c>
      <c r="H93" s="3">
        <v>57.9</v>
      </c>
      <c r="I93" s="3">
        <v>100186.04</v>
      </c>
      <c r="J93" s="2">
        <f t="shared" si="1"/>
        <v>0.22178097560975601</v>
      </c>
    </row>
    <row r="94" spans="1:10" x14ac:dyDescent="0.35">
      <c r="A94" t="s">
        <v>8</v>
      </c>
      <c r="B94" t="s">
        <v>20</v>
      </c>
      <c r="C94" t="s">
        <v>21</v>
      </c>
      <c r="D94" t="s">
        <v>33</v>
      </c>
      <c r="E94" s="1">
        <v>44614</v>
      </c>
      <c r="F94" s="3">
        <v>3000</v>
      </c>
      <c r="G94" s="3">
        <v>126000</v>
      </c>
      <c r="H94" s="3">
        <v>25.99</v>
      </c>
      <c r="I94" s="3">
        <v>112292.37</v>
      </c>
      <c r="J94" s="2">
        <f t="shared" si="1"/>
        <v>-0.10879071428571432</v>
      </c>
    </row>
    <row r="95" spans="1:10" x14ac:dyDescent="0.35">
      <c r="A95" t="s">
        <v>6</v>
      </c>
      <c r="B95" t="s">
        <v>19</v>
      </c>
      <c r="C95" t="s">
        <v>25</v>
      </c>
      <c r="D95" t="s">
        <v>35</v>
      </c>
      <c r="E95" s="1">
        <v>44870</v>
      </c>
      <c r="F95" s="3">
        <v>3000</v>
      </c>
      <c r="G95" s="3">
        <v>99000</v>
      </c>
      <c r="H95" s="3">
        <v>43.35</v>
      </c>
      <c r="I95" s="3">
        <v>81295.320000000007</v>
      </c>
      <c r="J95" s="2">
        <f t="shared" si="1"/>
        <v>-0.17883515151515145</v>
      </c>
    </row>
    <row r="96" spans="1:10" x14ac:dyDescent="0.35">
      <c r="A96" t="s">
        <v>7</v>
      </c>
      <c r="B96" t="s">
        <v>20</v>
      </c>
      <c r="C96" t="s">
        <v>24</v>
      </c>
      <c r="D96" t="s">
        <v>35</v>
      </c>
      <c r="E96" s="1">
        <v>44821</v>
      </c>
      <c r="F96" s="3">
        <v>500</v>
      </c>
      <c r="G96" s="3">
        <v>17500</v>
      </c>
      <c r="H96" s="3">
        <v>33.85</v>
      </c>
      <c r="I96" s="3">
        <v>14181.32</v>
      </c>
      <c r="J96" s="2">
        <f t="shared" si="1"/>
        <v>-0.18963885714285716</v>
      </c>
    </row>
    <row r="97" spans="1:10" x14ac:dyDescent="0.35">
      <c r="A97" t="s">
        <v>7</v>
      </c>
      <c r="B97" t="s">
        <v>17</v>
      </c>
      <c r="C97" t="s">
        <v>26</v>
      </c>
      <c r="D97" t="s">
        <v>32</v>
      </c>
      <c r="E97" s="1">
        <v>44860</v>
      </c>
      <c r="F97" s="3">
        <v>3000</v>
      </c>
      <c r="G97" s="3">
        <v>99000</v>
      </c>
      <c r="H97" s="3">
        <v>51.47</v>
      </c>
      <c r="I97" s="3">
        <v>150132.38</v>
      </c>
      <c r="J97" s="2">
        <f t="shared" si="1"/>
        <v>0.51648868686868687</v>
      </c>
    </row>
    <row r="98" spans="1:10" x14ac:dyDescent="0.35">
      <c r="A98" t="s">
        <v>12</v>
      </c>
      <c r="B98" t="s">
        <v>20</v>
      </c>
      <c r="C98" t="s">
        <v>25</v>
      </c>
      <c r="D98" t="s">
        <v>31</v>
      </c>
      <c r="E98" s="1">
        <v>44779</v>
      </c>
      <c r="F98" s="3">
        <v>500</v>
      </c>
      <c r="G98" s="3">
        <v>18000</v>
      </c>
      <c r="H98" s="3">
        <v>13.02</v>
      </c>
      <c r="I98" s="3">
        <v>27630.03</v>
      </c>
      <c r="J98" s="2">
        <f t="shared" si="1"/>
        <v>0.5350016666666666</v>
      </c>
    </row>
    <row r="99" spans="1:10" x14ac:dyDescent="0.35">
      <c r="A99" t="s">
        <v>15</v>
      </c>
      <c r="B99" t="s">
        <v>20</v>
      </c>
      <c r="C99" t="s">
        <v>25</v>
      </c>
      <c r="D99" t="s">
        <v>32</v>
      </c>
      <c r="E99" s="1">
        <v>44106</v>
      </c>
      <c r="F99" s="3">
        <v>3000</v>
      </c>
      <c r="G99" s="3">
        <v>174000</v>
      </c>
      <c r="H99" s="3">
        <v>53.58</v>
      </c>
      <c r="I99" s="3">
        <v>158630.42000000001</v>
      </c>
      <c r="J99" s="2">
        <f t="shared" si="1"/>
        <v>-8.8330919540229813E-2</v>
      </c>
    </row>
    <row r="100" spans="1:10" x14ac:dyDescent="0.35">
      <c r="A100" t="s">
        <v>14</v>
      </c>
      <c r="B100" t="s">
        <v>16</v>
      </c>
      <c r="C100" t="s">
        <v>30</v>
      </c>
      <c r="D100" t="s">
        <v>33</v>
      </c>
      <c r="E100" s="1">
        <v>43978</v>
      </c>
      <c r="F100" s="3">
        <v>1500</v>
      </c>
      <c r="G100" s="3">
        <v>94500</v>
      </c>
      <c r="H100" s="3">
        <v>50.96</v>
      </c>
      <c r="I100" s="3">
        <v>96924.83</v>
      </c>
      <c r="J100" s="2">
        <f t="shared" si="1"/>
        <v>2.5659576719576738E-2</v>
      </c>
    </row>
    <row r="101" spans="1:10" x14ac:dyDescent="0.35">
      <c r="A101" t="s">
        <v>12</v>
      </c>
      <c r="B101" t="s">
        <v>18</v>
      </c>
      <c r="C101" t="s">
        <v>21</v>
      </c>
      <c r="D101" t="s">
        <v>34</v>
      </c>
      <c r="E101" s="1">
        <v>45297</v>
      </c>
      <c r="F101" s="3">
        <v>2000</v>
      </c>
      <c r="G101" s="3">
        <v>38000</v>
      </c>
      <c r="H101" s="3">
        <v>58.47</v>
      </c>
      <c r="I101" s="3">
        <v>38031.269999999997</v>
      </c>
      <c r="J101" s="2">
        <f t="shared" si="1"/>
        <v>8.22894736842021E-4</v>
      </c>
    </row>
    <row r="102" spans="1:10" x14ac:dyDescent="0.35">
      <c r="A102" t="s">
        <v>13</v>
      </c>
      <c r="B102" t="s">
        <v>19</v>
      </c>
      <c r="C102" t="s">
        <v>28</v>
      </c>
      <c r="D102" t="s">
        <v>35</v>
      </c>
      <c r="E102" s="1">
        <v>44257</v>
      </c>
      <c r="F102" s="3">
        <v>500</v>
      </c>
      <c r="G102" s="3">
        <v>26500</v>
      </c>
      <c r="H102" s="3">
        <v>41.46</v>
      </c>
      <c r="I102" s="3">
        <v>32671.56</v>
      </c>
      <c r="J102" s="2">
        <f t="shared" si="1"/>
        <v>0.23288905660377363</v>
      </c>
    </row>
    <row r="103" spans="1:10" x14ac:dyDescent="0.35">
      <c r="A103" t="s">
        <v>9</v>
      </c>
      <c r="B103" t="s">
        <v>17</v>
      </c>
      <c r="C103" t="s">
        <v>21</v>
      </c>
      <c r="D103" t="s">
        <v>32</v>
      </c>
      <c r="E103" s="1">
        <v>45107</v>
      </c>
      <c r="F103" s="3">
        <v>3000</v>
      </c>
      <c r="G103" s="3">
        <v>75000</v>
      </c>
      <c r="H103" s="3">
        <v>45.97</v>
      </c>
      <c r="I103" s="3">
        <v>118865.12</v>
      </c>
      <c r="J103" s="2">
        <f t="shared" si="1"/>
        <v>0.58486826666666658</v>
      </c>
    </row>
    <row r="104" spans="1:10" x14ac:dyDescent="0.35">
      <c r="A104" t="s">
        <v>7</v>
      </c>
      <c r="B104" t="s">
        <v>18</v>
      </c>
      <c r="C104" t="s">
        <v>25</v>
      </c>
      <c r="D104" t="s">
        <v>35</v>
      </c>
      <c r="E104" s="1">
        <v>45111</v>
      </c>
      <c r="F104" s="3">
        <v>2000</v>
      </c>
      <c r="G104" s="3">
        <v>50000</v>
      </c>
      <c r="H104" s="3">
        <v>64.61</v>
      </c>
      <c r="I104" s="3">
        <v>69432.399999999994</v>
      </c>
      <c r="J104" s="2">
        <f t="shared" si="1"/>
        <v>0.38864799999999988</v>
      </c>
    </row>
    <row r="105" spans="1:10" x14ac:dyDescent="0.35">
      <c r="A105" t="s">
        <v>9</v>
      </c>
      <c r="B105" t="s">
        <v>16</v>
      </c>
      <c r="C105" t="s">
        <v>30</v>
      </c>
      <c r="D105" t="s">
        <v>34</v>
      </c>
      <c r="E105" s="1">
        <v>44769</v>
      </c>
      <c r="F105" s="3">
        <v>2000</v>
      </c>
      <c r="G105" s="3">
        <v>72000</v>
      </c>
      <c r="H105" s="3">
        <v>49.58</v>
      </c>
      <c r="I105" s="3">
        <v>76460.62</v>
      </c>
      <c r="J105" s="2">
        <f t="shared" si="1"/>
        <v>6.195305555555549E-2</v>
      </c>
    </row>
    <row r="106" spans="1:10" x14ac:dyDescent="0.35">
      <c r="A106" t="s">
        <v>7</v>
      </c>
      <c r="B106" t="s">
        <v>16</v>
      </c>
      <c r="C106" t="s">
        <v>24</v>
      </c>
      <c r="D106" t="s">
        <v>32</v>
      </c>
      <c r="E106" s="1">
        <v>43943</v>
      </c>
      <c r="F106" s="3">
        <v>2000</v>
      </c>
      <c r="G106" s="3">
        <v>128000</v>
      </c>
      <c r="H106" s="3">
        <v>66.849999999999994</v>
      </c>
      <c r="I106" s="3">
        <v>152515.32999999999</v>
      </c>
      <c r="J106" s="2">
        <f t="shared" si="1"/>
        <v>0.19152601562499991</v>
      </c>
    </row>
    <row r="107" spans="1:10" x14ac:dyDescent="0.35">
      <c r="A107" t="s">
        <v>11</v>
      </c>
      <c r="B107" t="s">
        <v>20</v>
      </c>
      <c r="C107" t="s">
        <v>23</v>
      </c>
      <c r="D107" t="s">
        <v>31</v>
      </c>
      <c r="E107" s="1">
        <v>44479</v>
      </c>
      <c r="F107" s="3">
        <v>3000</v>
      </c>
      <c r="G107" s="3">
        <v>138000</v>
      </c>
      <c r="H107" s="3">
        <v>39.880000000000003</v>
      </c>
      <c r="I107" s="3">
        <v>125785.41</v>
      </c>
      <c r="J107" s="2">
        <f t="shared" si="1"/>
        <v>-8.8511521739130405E-2</v>
      </c>
    </row>
    <row r="108" spans="1:10" x14ac:dyDescent="0.35">
      <c r="A108" t="s">
        <v>15</v>
      </c>
      <c r="B108" t="s">
        <v>17</v>
      </c>
      <c r="C108" t="s">
        <v>30</v>
      </c>
      <c r="D108" t="s">
        <v>35</v>
      </c>
      <c r="E108" s="1">
        <v>44676</v>
      </c>
      <c r="F108" s="3">
        <v>2000</v>
      </c>
      <c r="G108" s="3">
        <v>78000</v>
      </c>
      <c r="H108" s="3">
        <v>40.659999999999997</v>
      </c>
      <c r="I108" s="3">
        <v>113303.75</v>
      </c>
      <c r="J108" s="2">
        <f t="shared" si="1"/>
        <v>0.45261217948717947</v>
      </c>
    </row>
    <row r="109" spans="1:10" x14ac:dyDescent="0.35">
      <c r="A109" t="s">
        <v>8</v>
      </c>
      <c r="B109" t="s">
        <v>18</v>
      </c>
      <c r="C109" t="s">
        <v>26</v>
      </c>
      <c r="D109" t="s">
        <v>31</v>
      </c>
      <c r="E109" s="1">
        <v>44400</v>
      </c>
      <c r="F109" s="3">
        <v>1500</v>
      </c>
      <c r="G109" s="3">
        <v>73500</v>
      </c>
      <c r="H109" s="3">
        <v>15.49</v>
      </c>
      <c r="I109" s="3">
        <v>98419.79</v>
      </c>
      <c r="J109" s="2">
        <f t="shared" si="1"/>
        <v>0.33904476190476179</v>
      </c>
    </row>
    <row r="110" spans="1:10" x14ac:dyDescent="0.35">
      <c r="A110" t="s">
        <v>15</v>
      </c>
      <c r="B110" t="s">
        <v>16</v>
      </c>
      <c r="C110" t="s">
        <v>27</v>
      </c>
      <c r="D110" t="s">
        <v>31</v>
      </c>
      <c r="E110" s="1">
        <v>44171</v>
      </c>
      <c r="F110" s="3">
        <v>3000</v>
      </c>
      <c r="G110" s="3">
        <v>168000</v>
      </c>
      <c r="H110" s="3">
        <v>18.63</v>
      </c>
      <c r="I110" s="3">
        <v>161427.79999999999</v>
      </c>
      <c r="J110" s="2">
        <f t="shared" si="1"/>
        <v>-3.9120238095238166E-2</v>
      </c>
    </row>
    <row r="111" spans="1:10" x14ac:dyDescent="0.35">
      <c r="A111" t="s">
        <v>7</v>
      </c>
      <c r="B111" t="s">
        <v>20</v>
      </c>
      <c r="C111" t="s">
        <v>26</v>
      </c>
      <c r="D111" t="s">
        <v>35</v>
      </c>
      <c r="E111" s="1">
        <v>43970</v>
      </c>
      <c r="F111" s="3">
        <v>3000</v>
      </c>
      <c r="G111" s="3">
        <v>189000</v>
      </c>
      <c r="H111" s="3">
        <v>23.9</v>
      </c>
      <c r="I111" s="3">
        <v>275114.8</v>
      </c>
      <c r="J111" s="2">
        <f t="shared" si="1"/>
        <v>0.45563386243386239</v>
      </c>
    </row>
    <row r="112" spans="1:10" x14ac:dyDescent="0.35">
      <c r="A112" t="s">
        <v>13</v>
      </c>
      <c r="B112" t="s">
        <v>19</v>
      </c>
      <c r="C112" t="s">
        <v>30</v>
      </c>
      <c r="D112" t="s">
        <v>34</v>
      </c>
      <c r="E112" s="1">
        <v>44948</v>
      </c>
      <c r="F112" s="3">
        <v>3000</v>
      </c>
      <c r="G112" s="3">
        <v>90000</v>
      </c>
      <c r="H112" s="3">
        <v>54.61</v>
      </c>
      <c r="I112" s="3">
        <v>91813.67</v>
      </c>
      <c r="J112" s="2">
        <f t="shared" si="1"/>
        <v>2.0151888888888869E-2</v>
      </c>
    </row>
    <row r="113" spans="1:10" x14ac:dyDescent="0.35">
      <c r="A113" t="s">
        <v>9</v>
      </c>
      <c r="B113" t="s">
        <v>16</v>
      </c>
      <c r="C113" t="s">
        <v>26</v>
      </c>
      <c r="D113" t="s">
        <v>34</v>
      </c>
      <c r="E113" s="1">
        <v>44987</v>
      </c>
      <c r="F113" s="3">
        <v>3000</v>
      </c>
      <c r="G113" s="3">
        <v>87000</v>
      </c>
      <c r="H113" s="3">
        <v>38.659999999999997</v>
      </c>
      <c r="I113" s="3">
        <v>121613.12</v>
      </c>
      <c r="J113" s="2">
        <f t="shared" si="1"/>
        <v>0.39785195402298845</v>
      </c>
    </row>
    <row r="114" spans="1:10" x14ac:dyDescent="0.35">
      <c r="A114" t="s">
        <v>12</v>
      </c>
      <c r="B114" t="s">
        <v>20</v>
      </c>
      <c r="C114" t="s">
        <v>23</v>
      </c>
      <c r="D114" t="s">
        <v>35</v>
      </c>
      <c r="E114" s="1">
        <v>44308</v>
      </c>
      <c r="F114" s="3">
        <v>1000</v>
      </c>
      <c r="G114" s="3">
        <v>52000</v>
      </c>
      <c r="H114" s="3">
        <v>56.04</v>
      </c>
      <c r="I114" s="3">
        <v>70721.3</v>
      </c>
      <c r="J114" s="2">
        <f t="shared" si="1"/>
        <v>0.36002500000000004</v>
      </c>
    </row>
    <row r="115" spans="1:10" x14ac:dyDescent="0.35">
      <c r="A115" t="s">
        <v>10</v>
      </c>
      <c r="B115" t="s">
        <v>18</v>
      </c>
      <c r="C115" t="s">
        <v>25</v>
      </c>
      <c r="D115" t="s">
        <v>33</v>
      </c>
      <c r="E115" s="1">
        <v>44213</v>
      </c>
      <c r="F115" s="3">
        <v>3000</v>
      </c>
      <c r="G115" s="3">
        <v>165000</v>
      </c>
      <c r="H115" s="3">
        <v>21.18</v>
      </c>
      <c r="I115" s="3">
        <v>186981.55</v>
      </c>
      <c r="J115" s="2">
        <f t="shared" si="1"/>
        <v>0.13322151515151509</v>
      </c>
    </row>
    <row r="116" spans="1:10" x14ac:dyDescent="0.35">
      <c r="A116" t="s">
        <v>15</v>
      </c>
      <c r="B116" t="s">
        <v>19</v>
      </c>
      <c r="C116" t="s">
        <v>24</v>
      </c>
      <c r="D116" t="s">
        <v>36</v>
      </c>
      <c r="E116" s="1">
        <v>44343</v>
      </c>
      <c r="F116" s="3">
        <v>3000</v>
      </c>
      <c r="G116" s="3">
        <v>153000</v>
      </c>
      <c r="H116" s="3">
        <v>11.05</v>
      </c>
      <c r="I116" s="3">
        <v>193427.16</v>
      </c>
      <c r="J116" s="2">
        <f t="shared" si="1"/>
        <v>0.26422980392156864</v>
      </c>
    </row>
    <row r="117" spans="1:10" x14ac:dyDescent="0.35">
      <c r="A117" t="s">
        <v>8</v>
      </c>
      <c r="B117" t="s">
        <v>20</v>
      </c>
      <c r="C117" t="s">
        <v>21</v>
      </c>
      <c r="D117" t="s">
        <v>33</v>
      </c>
      <c r="E117" s="1">
        <v>44472</v>
      </c>
      <c r="F117" s="3">
        <v>2000</v>
      </c>
      <c r="G117" s="3">
        <v>92000</v>
      </c>
      <c r="H117" s="3">
        <v>11.17</v>
      </c>
      <c r="I117" s="3">
        <v>107099.51</v>
      </c>
      <c r="J117" s="2">
        <f t="shared" si="1"/>
        <v>0.16412510869565211</v>
      </c>
    </row>
    <row r="118" spans="1:10" x14ac:dyDescent="0.35">
      <c r="A118" t="s">
        <v>14</v>
      </c>
      <c r="B118" t="s">
        <v>17</v>
      </c>
      <c r="C118" t="s">
        <v>28</v>
      </c>
      <c r="D118" t="s">
        <v>33</v>
      </c>
      <c r="E118" s="1">
        <v>45127</v>
      </c>
      <c r="F118" s="3">
        <v>1500</v>
      </c>
      <c r="G118" s="3">
        <v>36000</v>
      </c>
      <c r="H118" s="3">
        <v>21.99</v>
      </c>
      <c r="I118" s="3">
        <v>52828.160000000003</v>
      </c>
      <c r="J118" s="2">
        <f t="shared" si="1"/>
        <v>0.46744888888888897</v>
      </c>
    </row>
    <row r="119" spans="1:10" x14ac:dyDescent="0.35">
      <c r="A119" t="s">
        <v>7</v>
      </c>
      <c r="B119" t="s">
        <v>18</v>
      </c>
      <c r="C119" t="s">
        <v>25</v>
      </c>
      <c r="D119" t="s">
        <v>31</v>
      </c>
      <c r="E119" s="1">
        <v>45158</v>
      </c>
      <c r="F119" s="3">
        <v>2000</v>
      </c>
      <c r="G119" s="3">
        <v>46000</v>
      </c>
      <c r="H119" s="3">
        <v>46.79</v>
      </c>
      <c r="I119" s="3">
        <v>49089.56</v>
      </c>
      <c r="J119" s="2">
        <f t="shared" si="1"/>
        <v>6.7164347826086906E-2</v>
      </c>
    </row>
    <row r="120" spans="1:10" x14ac:dyDescent="0.35">
      <c r="A120" t="s">
        <v>6</v>
      </c>
      <c r="B120" t="s">
        <v>20</v>
      </c>
      <c r="C120" t="s">
        <v>26</v>
      </c>
      <c r="D120" t="s">
        <v>34</v>
      </c>
      <c r="E120" s="1">
        <v>44783</v>
      </c>
      <c r="F120" s="3">
        <v>2000</v>
      </c>
      <c r="G120" s="3">
        <v>72000</v>
      </c>
      <c r="H120" s="3">
        <v>26.34</v>
      </c>
      <c r="I120" s="3">
        <v>91433.84</v>
      </c>
      <c r="J120" s="2">
        <f t="shared" si="1"/>
        <v>0.2699144444444444</v>
      </c>
    </row>
    <row r="121" spans="1:10" x14ac:dyDescent="0.35">
      <c r="A121" t="s">
        <v>13</v>
      </c>
      <c r="B121" t="s">
        <v>20</v>
      </c>
      <c r="C121" t="s">
        <v>30</v>
      </c>
      <c r="D121" t="s">
        <v>35</v>
      </c>
      <c r="E121" s="1">
        <v>44668</v>
      </c>
      <c r="F121" s="3">
        <v>1500</v>
      </c>
      <c r="G121" s="3">
        <v>60000</v>
      </c>
      <c r="H121" s="3">
        <v>52.08</v>
      </c>
      <c r="I121" s="3">
        <v>87469.35</v>
      </c>
      <c r="J121" s="2">
        <f t="shared" si="1"/>
        <v>0.45782250000000008</v>
      </c>
    </row>
    <row r="122" spans="1:10" x14ac:dyDescent="0.35">
      <c r="A122" t="s">
        <v>11</v>
      </c>
      <c r="B122" t="s">
        <v>18</v>
      </c>
      <c r="C122" t="s">
        <v>30</v>
      </c>
      <c r="D122" t="s">
        <v>35</v>
      </c>
      <c r="E122" s="1">
        <v>44788</v>
      </c>
      <c r="F122" s="3">
        <v>3000</v>
      </c>
      <c r="G122" s="3">
        <v>108000</v>
      </c>
      <c r="H122" s="3">
        <v>13.08</v>
      </c>
      <c r="I122" s="3">
        <v>124324.79</v>
      </c>
      <c r="J122" s="2">
        <f t="shared" si="1"/>
        <v>0.15115546296296289</v>
      </c>
    </row>
    <row r="123" spans="1:10" x14ac:dyDescent="0.35">
      <c r="A123" t="s">
        <v>13</v>
      </c>
      <c r="B123" t="s">
        <v>17</v>
      </c>
      <c r="C123" t="s">
        <v>26</v>
      </c>
      <c r="D123" t="s">
        <v>31</v>
      </c>
      <c r="E123" s="1">
        <v>44874</v>
      </c>
      <c r="F123" s="3">
        <v>2000</v>
      </c>
      <c r="G123" s="3">
        <v>66000</v>
      </c>
      <c r="H123" s="3">
        <v>19.96</v>
      </c>
      <c r="I123" s="3">
        <v>95509.16</v>
      </c>
      <c r="J123" s="2">
        <f t="shared" si="1"/>
        <v>0.44710848484848492</v>
      </c>
    </row>
    <row r="124" spans="1:10" x14ac:dyDescent="0.35">
      <c r="A124" t="s">
        <v>7</v>
      </c>
      <c r="B124" t="s">
        <v>18</v>
      </c>
      <c r="C124" t="s">
        <v>24</v>
      </c>
      <c r="D124" t="s">
        <v>36</v>
      </c>
      <c r="E124" s="1">
        <v>44130</v>
      </c>
      <c r="F124" s="3">
        <v>500</v>
      </c>
      <c r="G124" s="3">
        <v>29000</v>
      </c>
      <c r="H124" s="3">
        <v>14.35</v>
      </c>
      <c r="I124" s="3">
        <v>34213.120000000003</v>
      </c>
      <c r="J124" s="2">
        <f t="shared" si="1"/>
        <v>0.17976275862068974</v>
      </c>
    </row>
    <row r="125" spans="1:10" x14ac:dyDescent="0.35">
      <c r="A125" t="s">
        <v>6</v>
      </c>
      <c r="B125" t="s">
        <v>16</v>
      </c>
      <c r="C125" t="s">
        <v>27</v>
      </c>
      <c r="D125" t="s">
        <v>34</v>
      </c>
      <c r="E125" s="1">
        <v>45137</v>
      </c>
      <c r="F125" s="3">
        <v>3000</v>
      </c>
      <c r="G125" s="3">
        <v>72000</v>
      </c>
      <c r="H125" s="3">
        <v>27.34</v>
      </c>
      <c r="I125" s="3">
        <v>63440.69</v>
      </c>
      <c r="J125" s="2">
        <f t="shared" si="1"/>
        <v>-0.11887930555555552</v>
      </c>
    </row>
    <row r="126" spans="1:10" x14ac:dyDescent="0.35">
      <c r="A126" t="s">
        <v>6</v>
      </c>
      <c r="B126" t="s">
        <v>18</v>
      </c>
      <c r="C126" t="s">
        <v>24</v>
      </c>
      <c r="D126" t="s">
        <v>35</v>
      </c>
      <c r="E126" s="1">
        <v>44415</v>
      </c>
      <c r="F126" s="3">
        <v>1500</v>
      </c>
      <c r="G126" s="3">
        <v>72000</v>
      </c>
      <c r="H126" s="3">
        <v>18.71</v>
      </c>
      <c r="I126" s="3">
        <v>57706.66</v>
      </c>
      <c r="J126" s="2">
        <f t="shared" si="1"/>
        <v>-0.19851861111111108</v>
      </c>
    </row>
    <row r="127" spans="1:10" x14ac:dyDescent="0.35">
      <c r="A127" t="s">
        <v>10</v>
      </c>
      <c r="B127" t="s">
        <v>19</v>
      </c>
      <c r="C127" t="s">
        <v>27</v>
      </c>
      <c r="D127" t="s">
        <v>34</v>
      </c>
      <c r="E127" s="1">
        <v>44074</v>
      </c>
      <c r="F127" s="3">
        <v>1500</v>
      </c>
      <c r="G127" s="3">
        <v>90000</v>
      </c>
      <c r="H127" s="3">
        <v>37.78</v>
      </c>
      <c r="I127" s="3">
        <v>95212.53</v>
      </c>
      <c r="J127" s="2">
        <f t="shared" si="1"/>
        <v>5.7916999999999989E-2</v>
      </c>
    </row>
    <row r="128" spans="1:10" x14ac:dyDescent="0.35">
      <c r="A128" t="s">
        <v>8</v>
      </c>
      <c r="B128" t="s">
        <v>17</v>
      </c>
      <c r="C128" t="s">
        <v>29</v>
      </c>
      <c r="D128" t="s">
        <v>35</v>
      </c>
      <c r="E128" s="1">
        <v>44814</v>
      </c>
      <c r="F128" s="3">
        <v>500</v>
      </c>
      <c r="G128" s="3">
        <v>17500</v>
      </c>
      <c r="H128" s="3">
        <v>16.690000000000001</v>
      </c>
      <c r="I128" s="3">
        <v>21355.33</v>
      </c>
      <c r="J128" s="2">
        <f t="shared" si="1"/>
        <v>0.22030457142857152</v>
      </c>
    </row>
    <row r="129" spans="1:10" x14ac:dyDescent="0.35">
      <c r="A129" t="s">
        <v>15</v>
      </c>
      <c r="B129" t="s">
        <v>18</v>
      </c>
      <c r="C129" t="s">
        <v>30</v>
      </c>
      <c r="D129" t="s">
        <v>36</v>
      </c>
      <c r="E129" s="1">
        <v>44855</v>
      </c>
      <c r="F129" s="3">
        <v>1000</v>
      </c>
      <c r="G129" s="3">
        <v>33000</v>
      </c>
      <c r="H129" s="3">
        <v>45.24</v>
      </c>
      <c r="I129" s="3">
        <v>43218.19</v>
      </c>
      <c r="J129" s="2">
        <f t="shared" si="1"/>
        <v>0.30964212121212126</v>
      </c>
    </row>
    <row r="130" spans="1:10" x14ac:dyDescent="0.35">
      <c r="A130" t="s">
        <v>12</v>
      </c>
      <c r="B130" t="s">
        <v>19</v>
      </c>
      <c r="C130" t="s">
        <v>30</v>
      </c>
      <c r="D130" t="s">
        <v>33</v>
      </c>
      <c r="E130" s="1">
        <v>44590</v>
      </c>
      <c r="F130" s="3">
        <v>3000</v>
      </c>
      <c r="G130" s="3">
        <v>126000</v>
      </c>
      <c r="H130" s="3">
        <v>59.06</v>
      </c>
      <c r="I130" s="3">
        <v>188201.71</v>
      </c>
      <c r="J130" s="2">
        <f t="shared" si="1"/>
        <v>0.49366436507936501</v>
      </c>
    </row>
    <row r="131" spans="1:10" x14ac:dyDescent="0.35">
      <c r="A131" t="s">
        <v>14</v>
      </c>
      <c r="B131" t="s">
        <v>19</v>
      </c>
      <c r="C131" t="s">
        <v>27</v>
      </c>
      <c r="D131" t="s">
        <v>36</v>
      </c>
      <c r="E131" s="1">
        <v>44491</v>
      </c>
      <c r="F131" s="3">
        <v>2000</v>
      </c>
      <c r="G131" s="3">
        <v>92000</v>
      </c>
      <c r="H131" s="3">
        <v>61.6</v>
      </c>
      <c r="I131" s="3">
        <v>105057.1</v>
      </c>
      <c r="J131" s="2">
        <f t="shared" ref="J131:J194" si="2">(I131-G131)/G131</f>
        <v>0.14192500000000005</v>
      </c>
    </row>
    <row r="132" spans="1:10" x14ac:dyDescent="0.35">
      <c r="A132" t="s">
        <v>10</v>
      </c>
      <c r="B132" t="s">
        <v>16</v>
      </c>
      <c r="C132" t="s">
        <v>27</v>
      </c>
      <c r="D132" t="s">
        <v>33</v>
      </c>
      <c r="E132" s="1">
        <v>44080</v>
      </c>
      <c r="F132" s="3">
        <v>1500</v>
      </c>
      <c r="G132" s="3">
        <v>88500</v>
      </c>
      <c r="H132" s="3">
        <v>23.14</v>
      </c>
      <c r="I132" s="3">
        <v>127067.05</v>
      </c>
      <c r="J132" s="2">
        <f t="shared" si="2"/>
        <v>0.43578587570621474</v>
      </c>
    </row>
    <row r="133" spans="1:10" x14ac:dyDescent="0.35">
      <c r="A133" t="s">
        <v>8</v>
      </c>
      <c r="B133" t="s">
        <v>20</v>
      </c>
      <c r="C133" t="s">
        <v>23</v>
      </c>
      <c r="D133" t="s">
        <v>35</v>
      </c>
      <c r="E133" s="1">
        <v>44685</v>
      </c>
      <c r="F133" s="3">
        <v>3000</v>
      </c>
      <c r="G133" s="3">
        <v>117000</v>
      </c>
      <c r="H133" s="3">
        <v>50.97</v>
      </c>
      <c r="I133" s="3">
        <v>115776.67</v>
      </c>
      <c r="J133" s="2">
        <f t="shared" si="2"/>
        <v>-1.0455811965811981E-2</v>
      </c>
    </row>
    <row r="134" spans="1:10" x14ac:dyDescent="0.35">
      <c r="A134" t="s">
        <v>7</v>
      </c>
      <c r="B134" t="s">
        <v>17</v>
      </c>
      <c r="C134" t="s">
        <v>25</v>
      </c>
      <c r="D134" t="s">
        <v>34</v>
      </c>
      <c r="E134" s="1">
        <v>44486</v>
      </c>
      <c r="F134" s="3">
        <v>1000</v>
      </c>
      <c r="G134" s="3">
        <v>46000</v>
      </c>
      <c r="H134" s="3">
        <v>28.92</v>
      </c>
      <c r="I134" s="3">
        <v>72252.94</v>
      </c>
      <c r="J134" s="2">
        <f t="shared" si="2"/>
        <v>0.57071608695652176</v>
      </c>
    </row>
    <row r="135" spans="1:10" x14ac:dyDescent="0.35">
      <c r="A135" t="s">
        <v>11</v>
      </c>
      <c r="B135" t="s">
        <v>18</v>
      </c>
      <c r="C135" t="s">
        <v>30</v>
      </c>
      <c r="D135" t="s">
        <v>36</v>
      </c>
      <c r="E135" s="1">
        <v>43942</v>
      </c>
      <c r="F135" s="3">
        <v>1500</v>
      </c>
      <c r="G135" s="3">
        <v>96000</v>
      </c>
      <c r="H135" s="3">
        <v>29.51</v>
      </c>
      <c r="I135" s="3">
        <v>108514.67</v>
      </c>
      <c r="J135" s="2">
        <f t="shared" si="2"/>
        <v>0.1303611458333333</v>
      </c>
    </row>
    <row r="136" spans="1:10" x14ac:dyDescent="0.35">
      <c r="A136" t="s">
        <v>15</v>
      </c>
      <c r="B136" t="s">
        <v>18</v>
      </c>
      <c r="C136" t="s">
        <v>24</v>
      </c>
      <c r="D136" t="s">
        <v>35</v>
      </c>
      <c r="E136" s="1">
        <v>44433</v>
      </c>
      <c r="F136" s="3">
        <v>500</v>
      </c>
      <c r="G136" s="3">
        <v>24000</v>
      </c>
      <c r="H136" s="3">
        <v>31.35</v>
      </c>
      <c r="I136" s="3">
        <v>31749.59</v>
      </c>
      <c r="J136" s="2">
        <f t="shared" si="2"/>
        <v>0.32289958333333335</v>
      </c>
    </row>
    <row r="137" spans="1:10" x14ac:dyDescent="0.35">
      <c r="A137" t="s">
        <v>9</v>
      </c>
      <c r="B137" t="s">
        <v>20</v>
      </c>
      <c r="C137" t="s">
        <v>24</v>
      </c>
      <c r="D137" t="s">
        <v>36</v>
      </c>
      <c r="E137" s="1">
        <v>44035</v>
      </c>
      <c r="F137" s="3">
        <v>500</v>
      </c>
      <c r="G137" s="3">
        <v>30500</v>
      </c>
      <c r="H137" s="3">
        <v>53.84</v>
      </c>
      <c r="I137" s="3">
        <v>25643.59</v>
      </c>
      <c r="J137" s="2">
        <f t="shared" si="2"/>
        <v>-0.15922655737704919</v>
      </c>
    </row>
    <row r="138" spans="1:10" x14ac:dyDescent="0.35">
      <c r="A138" t="s">
        <v>10</v>
      </c>
      <c r="B138" t="s">
        <v>17</v>
      </c>
      <c r="C138" t="s">
        <v>24</v>
      </c>
      <c r="D138" t="s">
        <v>34</v>
      </c>
      <c r="E138" s="1">
        <v>44360</v>
      </c>
      <c r="F138" s="3">
        <v>3000</v>
      </c>
      <c r="G138" s="3">
        <v>150000</v>
      </c>
      <c r="H138" s="3">
        <v>65.09</v>
      </c>
      <c r="I138" s="3">
        <v>171833.91</v>
      </c>
      <c r="J138" s="2">
        <f t="shared" si="2"/>
        <v>0.14555940000000003</v>
      </c>
    </row>
    <row r="139" spans="1:10" x14ac:dyDescent="0.35">
      <c r="A139" t="s">
        <v>8</v>
      </c>
      <c r="B139" t="s">
        <v>20</v>
      </c>
      <c r="C139" t="s">
        <v>26</v>
      </c>
      <c r="D139" t="s">
        <v>36</v>
      </c>
      <c r="E139" s="1">
        <v>44472</v>
      </c>
      <c r="F139" s="3">
        <v>1500</v>
      </c>
      <c r="G139" s="3">
        <v>69000</v>
      </c>
      <c r="H139" s="3">
        <v>69.11</v>
      </c>
      <c r="I139" s="3">
        <v>72385.850000000006</v>
      </c>
      <c r="J139" s="2">
        <f t="shared" si="2"/>
        <v>4.9070289855072551E-2</v>
      </c>
    </row>
    <row r="140" spans="1:10" x14ac:dyDescent="0.35">
      <c r="A140" t="s">
        <v>13</v>
      </c>
      <c r="B140" t="s">
        <v>19</v>
      </c>
      <c r="C140" t="s">
        <v>25</v>
      </c>
      <c r="D140" t="s">
        <v>34</v>
      </c>
      <c r="E140" s="1">
        <v>44018</v>
      </c>
      <c r="F140" s="3">
        <v>1000</v>
      </c>
      <c r="G140" s="3">
        <v>61000</v>
      </c>
      <c r="H140" s="3">
        <v>24.37</v>
      </c>
      <c r="I140" s="3">
        <v>85387.68</v>
      </c>
      <c r="J140" s="2">
        <f t="shared" si="2"/>
        <v>0.39979803278688514</v>
      </c>
    </row>
    <row r="141" spans="1:10" x14ac:dyDescent="0.35">
      <c r="A141" t="s">
        <v>13</v>
      </c>
      <c r="B141" t="s">
        <v>19</v>
      </c>
      <c r="C141" t="s">
        <v>28</v>
      </c>
      <c r="D141" t="s">
        <v>32</v>
      </c>
      <c r="E141" s="1">
        <v>44870</v>
      </c>
      <c r="F141" s="3">
        <v>1000</v>
      </c>
      <c r="G141" s="3">
        <v>33000</v>
      </c>
      <c r="H141" s="3">
        <v>40.5</v>
      </c>
      <c r="I141" s="3">
        <v>31626.78</v>
      </c>
      <c r="J141" s="2">
        <f t="shared" si="2"/>
        <v>-4.1612727272727308E-2</v>
      </c>
    </row>
    <row r="142" spans="1:10" x14ac:dyDescent="0.35">
      <c r="A142" t="s">
        <v>11</v>
      </c>
      <c r="B142" t="s">
        <v>20</v>
      </c>
      <c r="C142" t="s">
        <v>27</v>
      </c>
      <c r="D142" t="s">
        <v>32</v>
      </c>
      <c r="E142" s="1">
        <v>45143</v>
      </c>
      <c r="F142" s="3">
        <v>2000</v>
      </c>
      <c r="G142" s="3">
        <v>48000</v>
      </c>
      <c r="H142" s="3">
        <v>42.07</v>
      </c>
      <c r="I142" s="3">
        <v>61066.400000000001</v>
      </c>
      <c r="J142" s="2">
        <f t="shared" si="2"/>
        <v>0.27221666666666672</v>
      </c>
    </row>
    <row r="143" spans="1:10" x14ac:dyDescent="0.35">
      <c r="A143" t="s">
        <v>15</v>
      </c>
      <c r="B143" t="s">
        <v>20</v>
      </c>
      <c r="C143" t="s">
        <v>26</v>
      </c>
      <c r="D143" t="s">
        <v>36</v>
      </c>
      <c r="E143" s="1">
        <v>44229</v>
      </c>
      <c r="F143" s="3">
        <v>1500</v>
      </c>
      <c r="G143" s="3">
        <v>81000</v>
      </c>
      <c r="H143" s="3">
        <v>20.329999999999998</v>
      </c>
      <c r="I143" s="3">
        <v>66515.34</v>
      </c>
      <c r="J143" s="2">
        <f t="shared" si="2"/>
        <v>-0.17882296296296302</v>
      </c>
    </row>
    <row r="144" spans="1:10" x14ac:dyDescent="0.35">
      <c r="A144" t="s">
        <v>15</v>
      </c>
      <c r="B144" t="s">
        <v>17</v>
      </c>
      <c r="C144" t="s">
        <v>27</v>
      </c>
      <c r="D144" t="s">
        <v>35</v>
      </c>
      <c r="E144" s="1">
        <v>44039</v>
      </c>
      <c r="F144" s="3">
        <v>1000</v>
      </c>
      <c r="G144" s="3">
        <v>61000</v>
      </c>
      <c r="H144" s="3">
        <v>62.74</v>
      </c>
      <c r="I144" s="3">
        <v>93932.53</v>
      </c>
      <c r="J144" s="2">
        <f t="shared" si="2"/>
        <v>0.53987754098360652</v>
      </c>
    </row>
    <row r="145" spans="1:10" x14ac:dyDescent="0.35">
      <c r="A145" t="s">
        <v>14</v>
      </c>
      <c r="B145" t="s">
        <v>17</v>
      </c>
      <c r="C145" t="s">
        <v>23</v>
      </c>
      <c r="D145" t="s">
        <v>36</v>
      </c>
      <c r="E145" s="1">
        <v>44328</v>
      </c>
      <c r="F145" s="3">
        <v>3000</v>
      </c>
      <c r="G145" s="3">
        <v>153000</v>
      </c>
      <c r="H145" s="3">
        <v>31.52</v>
      </c>
      <c r="I145" s="3">
        <v>181645.02</v>
      </c>
      <c r="J145" s="2">
        <f t="shared" si="2"/>
        <v>0.1872223529411764</v>
      </c>
    </row>
    <row r="146" spans="1:10" x14ac:dyDescent="0.35">
      <c r="A146" t="s">
        <v>7</v>
      </c>
      <c r="B146" t="s">
        <v>18</v>
      </c>
      <c r="C146" t="s">
        <v>26</v>
      </c>
      <c r="D146" t="s">
        <v>34</v>
      </c>
      <c r="E146" s="1">
        <v>44210</v>
      </c>
      <c r="F146" s="3">
        <v>500</v>
      </c>
      <c r="G146" s="3">
        <v>27500</v>
      </c>
      <c r="H146" s="3">
        <v>55.17</v>
      </c>
      <c r="I146" s="3">
        <v>43487.23</v>
      </c>
      <c r="J146" s="2">
        <f t="shared" si="2"/>
        <v>0.5813538181818183</v>
      </c>
    </row>
    <row r="147" spans="1:10" x14ac:dyDescent="0.35">
      <c r="A147" t="s">
        <v>13</v>
      </c>
      <c r="B147" t="s">
        <v>16</v>
      </c>
      <c r="C147" t="s">
        <v>22</v>
      </c>
      <c r="D147" t="s">
        <v>33</v>
      </c>
      <c r="E147" s="1">
        <v>44992</v>
      </c>
      <c r="F147" s="3">
        <v>1500</v>
      </c>
      <c r="G147" s="3">
        <v>43500</v>
      </c>
      <c r="H147" s="3">
        <v>18.78</v>
      </c>
      <c r="I147" s="3">
        <v>63321.97</v>
      </c>
      <c r="J147" s="2">
        <f t="shared" si="2"/>
        <v>0.45567747126436786</v>
      </c>
    </row>
    <row r="148" spans="1:10" x14ac:dyDescent="0.35">
      <c r="A148" t="s">
        <v>14</v>
      </c>
      <c r="B148" t="s">
        <v>19</v>
      </c>
      <c r="C148" t="s">
        <v>23</v>
      </c>
      <c r="D148" t="s">
        <v>36</v>
      </c>
      <c r="E148" s="1">
        <v>43959</v>
      </c>
      <c r="F148" s="3">
        <v>3000</v>
      </c>
      <c r="G148" s="3">
        <v>189000</v>
      </c>
      <c r="H148" s="3">
        <v>55.36</v>
      </c>
      <c r="I148" s="3">
        <v>231620.06</v>
      </c>
      <c r="J148" s="2">
        <f t="shared" si="2"/>
        <v>0.22550296296296296</v>
      </c>
    </row>
    <row r="149" spans="1:10" x14ac:dyDescent="0.35">
      <c r="A149" t="s">
        <v>14</v>
      </c>
      <c r="B149" t="s">
        <v>17</v>
      </c>
      <c r="C149" t="s">
        <v>25</v>
      </c>
      <c r="D149" t="s">
        <v>35</v>
      </c>
      <c r="E149" s="1">
        <v>44322</v>
      </c>
      <c r="F149" s="3">
        <v>2000</v>
      </c>
      <c r="G149" s="3">
        <v>102000</v>
      </c>
      <c r="H149" s="3">
        <v>53.75</v>
      </c>
      <c r="I149" s="3">
        <v>93931.51</v>
      </c>
      <c r="J149" s="2">
        <f t="shared" si="2"/>
        <v>-7.910284313725495E-2</v>
      </c>
    </row>
    <row r="150" spans="1:10" x14ac:dyDescent="0.35">
      <c r="A150" t="s">
        <v>6</v>
      </c>
      <c r="B150" t="s">
        <v>18</v>
      </c>
      <c r="C150" t="s">
        <v>27</v>
      </c>
      <c r="D150" t="s">
        <v>36</v>
      </c>
      <c r="E150" s="1">
        <v>43997</v>
      </c>
      <c r="F150" s="3">
        <v>1500</v>
      </c>
      <c r="G150" s="3">
        <v>93000</v>
      </c>
      <c r="H150" s="3">
        <v>21.73</v>
      </c>
      <c r="I150" s="3">
        <v>144256.44</v>
      </c>
      <c r="J150" s="2">
        <f t="shared" si="2"/>
        <v>0.55114451612903226</v>
      </c>
    </row>
    <row r="151" spans="1:10" x14ac:dyDescent="0.35">
      <c r="A151" t="s">
        <v>9</v>
      </c>
      <c r="B151" t="s">
        <v>19</v>
      </c>
      <c r="C151" t="s">
        <v>30</v>
      </c>
      <c r="D151" t="s">
        <v>31</v>
      </c>
      <c r="E151" s="1">
        <v>44253</v>
      </c>
      <c r="F151" s="3">
        <v>1000</v>
      </c>
      <c r="G151" s="3">
        <v>54000</v>
      </c>
      <c r="H151" s="3">
        <v>66.81</v>
      </c>
      <c r="I151" s="3">
        <v>82630.649999999994</v>
      </c>
      <c r="J151" s="2">
        <f t="shared" si="2"/>
        <v>0.5301972222222221</v>
      </c>
    </row>
    <row r="152" spans="1:10" x14ac:dyDescent="0.35">
      <c r="A152" t="s">
        <v>12</v>
      </c>
      <c r="B152" t="s">
        <v>17</v>
      </c>
      <c r="C152" t="s">
        <v>25</v>
      </c>
      <c r="D152" t="s">
        <v>32</v>
      </c>
      <c r="E152" s="1">
        <v>43936</v>
      </c>
      <c r="F152" s="3">
        <v>3000</v>
      </c>
      <c r="G152" s="3">
        <v>192000</v>
      </c>
      <c r="H152" s="3">
        <v>30.82</v>
      </c>
      <c r="I152" s="3">
        <v>286227.8</v>
      </c>
      <c r="J152" s="2">
        <f t="shared" si="2"/>
        <v>0.49076979166666662</v>
      </c>
    </row>
    <row r="153" spans="1:10" x14ac:dyDescent="0.35">
      <c r="A153" t="s">
        <v>7</v>
      </c>
      <c r="B153" t="s">
        <v>20</v>
      </c>
      <c r="C153" t="s">
        <v>29</v>
      </c>
      <c r="D153" t="s">
        <v>32</v>
      </c>
      <c r="E153" s="1">
        <v>44157</v>
      </c>
      <c r="F153" s="3">
        <v>1000</v>
      </c>
      <c r="G153" s="3">
        <v>57000</v>
      </c>
      <c r="H153" s="3">
        <v>16.53</v>
      </c>
      <c r="I153" s="3">
        <v>56258.99</v>
      </c>
      <c r="J153" s="2">
        <f t="shared" si="2"/>
        <v>-1.3000175438596526E-2</v>
      </c>
    </row>
    <row r="154" spans="1:10" x14ac:dyDescent="0.35">
      <c r="A154" t="s">
        <v>14</v>
      </c>
      <c r="B154" t="s">
        <v>19</v>
      </c>
      <c r="C154" t="s">
        <v>25</v>
      </c>
      <c r="D154" t="s">
        <v>36</v>
      </c>
      <c r="E154" s="1">
        <v>44415</v>
      </c>
      <c r="F154" s="3">
        <v>2000</v>
      </c>
      <c r="G154" s="3">
        <v>96000</v>
      </c>
      <c r="H154" s="3">
        <v>32.700000000000003</v>
      </c>
      <c r="I154" s="3">
        <v>108505.91</v>
      </c>
      <c r="J154" s="2">
        <f t="shared" si="2"/>
        <v>0.13026989583333337</v>
      </c>
    </row>
    <row r="155" spans="1:10" x14ac:dyDescent="0.35">
      <c r="A155" t="s">
        <v>12</v>
      </c>
      <c r="B155" t="s">
        <v>19</v>
      </c>
      <c r="C155" t="s">
        <v>22</v>
      </c>
      <c r="D155" t="s">
        <v>31</v>
      </c>
      <c r="E155" s="1">
        <v>45151</v>
      </c>
      <c r="F155" s="3">
        <v>3000</v>
      </c>
      <c r="G155" s="3">
        <v>72000</v>
      </c>
      <c r="H155" s="3">
        <v>22.18</v>
      </c>
      <c r="I155" s="3">
        <v>101192.18</v>
      </c>
      <c r="J155" s="2">
        <f t="shared" si="2"/>
        <v>0.40544694444444435</v>
      </c>
    </row>
    <row r="156" spans="1:10" x14ac:dyDescent="0.35">
      <c r="A156" t="s">
        <v>12</v>
      </c>
      <c r="B156" t="s">
        <v>18</v>
      </c>
      <c r="C156" t="s">
        <v>25</v>
      </c>
      <c r="D156" t="s">
        <v>34</v>
      </c>
      <c r="E156" s="1">
        <v>44380</v>
      </c>
      <c r="F156" s="3">
        <v>1000</v>
      </c>
      <c r="G156" s="3">
        <v>49000</v>
      </c>
      <c r="H156" s="3">
        <v>65.510000000000005</v>
      </c>
      <c r="I156" s="3">
        <v>74227.63</v>
      </c>
      <c r="J156" s="2">
        <f t="shared" si="2"/>
        <v>0.51484959183673484</v>
      </c>
    </row>
    <row r="157" spans="1:10" x14ac:dyDescent="0.35">
      <c r="A157" t="s">
        <v>12</v>
      </c>
      <c r="B157" t="s">
        <v>19</v>
      </c>
      <c r="C157" t="s">
        <v>29</v>
      </c>
      <c r="D157" t="s">
        <v>35</v>
      </c>
      <c r="E157" s="1">
        <v>44303</v>
      </c>
      <c r="F157" s="3">
        <v>3000</v>
      </c>
      <c r="G157" s="3">
        <v>156000</v>
      </c>
      <c r="H157" s="3">
        <v>12.17</v>
      </c>
      <c r="I157" s="3">
        <v>235168.08</v>
      </c>
      <c r="J157" s="2">
        <f t="shared" si="2"/>
        <v>0.5074876923076922</v>
      </c>
    </row>
    <row r="158" spans="1:10" x14ac:dyDescent="0.35">
      <c r="A158" t="s">
        <v>9</v>
      </c>
      <c r="B158" t="s">
        <v>18</v>
      </c>
      <c r="C158" t="s">
        <v>21</v>
      </c>
      <c r="D158" t="s">
        <v>32</v>
      </c>
      <c r="E158" s="1">
        <v>44661</v>
      </c>
      <c r="F158" s="3">
        <v>500</v>
      </c>
      <c r="G158" s="3">
        <v>20000</v>
      </c>
      <c r="H158" s="3">
        <v>45.34</v>
      </c>
      <c r="I158" s="3">
        <v>22874.02</v>
      </c>
      <c r="J158" s="2">
        <f t="shared" si="2"/>
        <v>0.14370100000000002</v>
      </c>
    </row>
    <row r="159" spans="1:10" x14ac:dyDescent="0.35">
      <c r="A159" t="s">
        <v>13</v>
      </c>
      <c r="B159" t="s">
        <v>18</v>
      </c>
      <c r="C159" t="s">
        <v>21</v>
      </c>
      <c r="D159" t="s">
        <v>31</v>
      </c>
      <c r="E159" s="1">
        <v>44726</v>
      </c>
      <c r="F159" s="3">
        <v>1000</v>
      </c>
      <c r="G159" s="3">
        <v>38000</v>
      </c>
      <c r="H159" s="3">
        <v>52.34</v>
      </c>
      <c r="I159" s="3">
        <v>57295.9</v>
      </c>
      <c r="J159" s="2">
        <f t="shared" si="2"/>
        <v>0.50778684210526315</v>
      </c>
    </row>
    <row r="160" spans="1:10" x14ac:dyDescent="0.35">
      <c r="A160" t="s">
        <v>14</v>
      </c>
      <c r="B160" t="s">
        <v>19</v>
      </c>
      <c r="C160" t="s">
        <v>28</v>
      </c>
      <c r="D160" t="s">
        <v>35</v>
      </c>
      <c r="E160" s="1">
        <v>44359</v>
      </c>
      <c r="F160" s="3">
        <v>3000</v>
      </c>
      <c r="G160" s="3">
        <v>150000</v>
      </c>
      <c r="H160" s="3">
        <v>65</v>
      </c>
      <c r="I160" s="3">
        <v>165734.34</v>
      </c>
      <c r="J160" s="2">
        <f t="shared" si="2"/>
        <v>0.10489559999999998</v>
      </c>
    </row>
    <row r="161" spans="1:10" x14ac:dyDescent="0.35">
      <c r="A161" t="s">
        <v>14</v>
      </c>
      <c r="B161" t="s">
        <v>16</v>
      </c>
      <c r="C161" t="s">
        <v>21</v>
      </c>
      <c r="D161" t="s">
        <v>33</v>
      </c>
      <c r="E161" s="1">
        <v>44544</v>
      </c>
      <c r="F161" s="3">
        <v>2000</v>
      </c>
      <c r="G161" s="3">
        <v>88000</v>
      </c>
      <c r="H161" s="3">
        <v>12.33</v>
      </c>
      <c r="I161" s="3">
        <v>85326.51</v>
      </c>
      <c r="J161" s="2">
        <f t="shared" si="2"/>
        <v>-3.0380568181818241E-2</v>
      </c>
    </row>
    <row r="162" spans="1:10" x14ac:dyDescent="0.35">
      <c r="A162" t="s">
        <v>15</v>
      </c>
      <c r="B162" t="s">
        <v>20</v>
      </c>
      <c r="C162" t="s">
        <v>28</v>
      </c>
      <c r="D162" t="s">
        <v>36</v>
      </c>
      <c r="E162" s="1">
        <v>44571</v>
      </c>
      <c r="F162" s="3">
        <v>3000</v>
      </c>
      <c r="G162" s="3">
        <v>129000</v>
      </c>
      <c r="H162" s="3">
        <v>62.9</v>
      </c>
      <c r="I162" s="3">
        <v>136574.47</v>
      </c>
      <c r="J162" s="2">
        <f t="shared" si="2"/>
        <v>5.8716821705426366E-2</v>
      </c>
    </row>
    <row r="163" spans="1:10" x14ac:dyDescent="0.35">
      <c r="A163" t="s">
        <v>15</v>
      </c>
      <c r="B163" t="s">
        <v>20</v>
      </c>
      <c r="C163" t="s">
        <v>21</v>
      </c>
      <c r="D163" t="s">
        <v>33</v>
      </c>
      <c r="E163" s="1">
        <v>44209</v>
      </c>
      <c r="F163" s="3">
        <v>1000</v>
      </c>
      <c r="G163" s="3">
        <v>55000</v>
      </c>
      <c r="H163" s="3">
        <v>62.85</v>
      </c>
      <c r="I163" s="3">
        <v>47303.3</v>
      </c>
      <c r="J163" s="2">
        <f t="shared" si="2"/>
        <v>-0.13993999999999995</v>
      </c>
    </row>
    <row r="164" spans="1:10" x14ac:dyDescent="0.35">
      <c r="A164" t="s">
        <v>15</v>
      </c>
      <c r="B164" t="s">
        <v>19</v>
      </c>
      <c r="C164" t="s">
        <v>30</v>
      </c>
      <c r="D164" t="s">
        <v>33</v>
      </c>
      <c r="E164" s="1">
        <v>43843</v>
      </c>
      <c r="F164" s="3">
        <v>1000</v>
      </c>
      <c r="G164" s="3">
        <v>67000</v>
      </c>
      <c r="H164" s="3">
        <v>10.79</v>
      </c>
      <c r="I164" s="3">
        <v>58801.95</v>
      </c>
      <c r="J164" s="2">
        <f t="shared" si="2"/>
        <v>-0.12235895522388064</v>
      </c>
    </row>
    <row r="165" spans="1:10" x14ac:dyDescent="0.35">
      <c r="A165" t="s">
        <v>14</v>
      </c>
      <c r="B165" t="s">
        <v>18</v>
      </c>
      <c r="C165" t="s">
        <v>25</v>
      </c>
      <c r="D165" t="s">
        <v>33</v>
      </c>
      <c r="E165" s="1">
        <v>44256</v>
      </c>
      <c r="F165" s="3">
        <v>1000</v>
      </c>
      <c r="G165" s="3">
        <v>53000</v>
      </c>
      <c r="H165" s="3">
        <v>62.45</v>
      </c>
      <c r="I165" s="3">
        <v>63030.39</v>
      </c>
      <c r="J165" s="2">
        <f t="shared" si="2"/>
        <v>0.18925264150943394</v>
      </c>
    </row>
    <row r="166" spans="1:10" x14ac:dyDescent="0.35">
      <c r="A166" t="s">
        <v>7</v>
      </c>
      <c r="B166" t="s">
        <v>18</v>
      </c>
      <c r="C166" t="s">
        <v>30</v>
      </c>
      <c r="D166" t="s">
        <v>34</v>
      </c>
      <c r="E166" s="1">
        <v>44703</v>
      </c>
      <c r="F166" s="3">
        <v>1000</v>
      </c>
      <c r="G166" s="3">
        <v>39000</v>
      </c>
      <c r="H166" s="3">
        <v>47.26</v>
      </c>
      <c r="I166" s="3">
        <v>55879.99</v>
      </c>
      <c r="J166" s="2">
        <f t="shared" si="2"/>
        <v>0.43282025641025634</v>
      </c>
    </row>
    <row r="167" spans="1:10" x14ac:dyDescent="0.35">
      <c r="A167" t="s">
        <v>10</v>
      </c>
      <c r="B167" t="s">
        <v>18</v>
      </c>
      <c r="C167" t="s">
        <v>29</v>
      </c>
      <c r="D167" t="s">
        <v>32</v>
      </c>
      <c r="E167" s="1">
        <v>45089</v>
      </c>
      <c r="F167" s="3">
        <v>500</v>
      </c>
      <c r="G167" s="3">
        <v>13000</v>
      </c>
      <c r="H167" s="3">
        <v>61.3</v>
      </c>
      <c r="I167" s="3">
        <v>10525.45</v>
      </c>
      <c r="J167" s="2">
        <f t="shared" si="2"/>
        <v>-0.19034999999999994</v>
      </c>
    </row>
    <row r="168" spans="1:10" x14ac:dyDescent="0.35">
      <c r="A168" t="s">
        <v>14</v>
      </c>
      <c r="B168" t="s">
        <v>17</v>
      </c>
      <c r="C168" t="s">
        <v>23</v>
      </c>
      <c r="D168" t="s">
        <v>35</v>
      </c>
      <c r="E168" s="1">
        <v>45133</v>
      </c>
      <c r="F168" s="3">
        <v>3000</v>
      </c>
      <c r="G168" s="3">
        <v>72000</v>
      </c>
      <c r="H168" s="3">
        <v>30.89</v>
      </c>
      <c r="I168" s="3">
        <v>107433.07</v>
      </c>
      <c r="J168" s="2">
        <f t="shared" si="2"/>
        <v>0.49212597222222232</v>
      </c>
    </row>
    <row r="169" spans="1:10" x14ac:dyDescent="0.35">
      <c r="A169" t="s">
        <v>6</v>
      </c>
      <c r="B169" t="s">
        <v>16</v>
      </c>
      <c r="C169" t="s">
        <v>23</v>
      </c>
      <c r="D169" t="s">
        <v>34</v>
      </c>
      <c r="E169" s="1">
        <v>45220</v>
      </c>
      <c r="F169" s="3">
        <v>2000</v>
      </c>
      <c r="G169" s="3">
        <v>42000</v>
      </c>
      <c r="H169" s="3">
        <v>53.33</v>
      </c>
      <c r="I169" s="3">
        <v>43863.8</v>
      </c>
      <c r="J169" s="2">
        <f t="shared" si="2"/>
        <v>4.4376190476190548E-2</v>
      </c>
    </row>
    <row r="170" spans="1:10" x14ac:dyDescent="0.35">
      <c r="A170" t="s">
        <v>7</v>
      </c>
      <c r="B170" t="s">
        <v>18</v>
      </c>
      <c r="C170" t="s">
        <v>29</v>
      </c>
      <c r="D170" t="s">
        <v>34</v>
      </c>
      <c r="E170" s="1">
        <v>44382</v>
      </c>
      <c r="F170" s="3">
        <v>2000</v>
      </c>
      <c r="G170" s="3">
        <v>98000</v>
      </c>
      <c r="H170" s="3">
        <v>50.74</v>
      </c>
      <c r="I170" s="3">
        <v>144236.09</v>
      </c>
      <c r="J170" s="2">
        <f t="shared" si="2"/>
        <v>0.47179683673469386</v>
      </c>
    </row>
    <row r="171" spans="1:10" x14ac:dyDescent="0.35">
      <c r="A171" t="s">
        <v>12</v>
      </c>
      <c r="B171" t="s">
        <v>16</v>
      </c>
      <c r="C171" t="s">
        <v>25</v>
      </c>
      <c r="D171" t="s">
        <v>34</v>
      </c>
      <c r="E171" s="1">
        <v>44949</v>
      </c>
      <c r="F171" s="3">
        <v>1000</v>
      </c>
      <c r="G171" s="3">
        <v>30000</v>
      </c>
      <c r="H171" s="3">
        <v>42.34</v>
      </c>
      <c r="I171" s="3">
        <v>46082.32</v>
      </c>
      <c r="J171" s="2">
        <f t="shared" si="2"/>
        <v>0.53607733333333329</v>
      </c>
    </row>
    <row r="172" spans="1:10" x14ac:dyDescent="0.35">
      <c r="A172" t="s">
        <v>11</v>
      </c>
      <c r="B172" t="s">
        <v>17</v>
      </c>
      <c r="C172" t="s">
        <v>29</v>
      </c>
      <c r="D172" t="s">
        <v>33</v>
      </c>
      <c r="E172" s="1">
        <v>43835</v>
      </c>
      <c r="F172" s="3">
        <v>500</v>
      </c>
      <c r="G172" s="3">
        <v>33500</v>
      </c>
      <c r="H172" s="3">
        <v>30.88</v>
      </c>
      <c r="I172" s="3">
        <v>51405.56</v>
      </c>
      <c r="J172" s="2">
        <f t="shared" si="2"/>
        <v>0.53449432835820887</v>
      </c>
    </row>
    <row r="173" spans="1:10" x14ac:dyDescent="0.35">
      <c r="A173" t="s">
        <v>6</v>
      </c>
      <c r="B173" t="s">
        <v>17</v>
      </c>
      <c r="C173" t="s">
        <v>24</v>
      </c>
      <c r="D173" t="s">
        <v>36</v>
      </c>
      <c r="E173" s="1">
        <v>44446</v>
      </c>
      <c r="F173" s="3">
        <v>3000</v>
      </c>
      <c r="G173" s="3">
        <v>141000</v>
      </c>
      <c r="H173" s="3">
        <v>17.920000000000002</v>
      </c>
      <c r="I173" s="3">
        <v>221811.23</v>
      </c>
      <c r="J173" s="2">
        <f t="shared" si="2"/>
        <v>0.57312929078014196</v>
      </c>
    </row>
    <row r="174" spans="1:10" x14ac:dyDescent="0.35">
      <c r="A174" t="s">
        <v>7</v>
      </c>
      <c r="B174" t="s">
        <v>20</v>
      </c>
      <c r="C174" t="s">
        <v>22</v>
      </c>
      <c r="D174" t="s">
        <v>34</v>
      </c>
      <c r="E174" s="1">
        <v>44795</v>
      </c>
      <c r="F174" s="3">
        <v>500</v>
      </c>
      <c r="G174" s="3">
        <v>17500</v>
      </c>
      <c r="H174" s="3">
        <v>22.28</v>
      </c>
      <c r="I174" s="3">
        <v>14974.19</v>
      </c>
      <c r="J174" s="2">
        <f t="shared" si="2"/>
        <v>-0.14433199999999996</v>
      </c>
    </row>
    <row r="175" spans="1:10" x14ac:dyDescent="0.35">
      <c r="A175" t="s">
        <v>8</v>
      </c>
      <c r="B175" t="s">
        <v>17</v>
      </c>
      <c r="C175" t="s">
        <v>23</v>
      </c>
      <c r="D175" t="s">
        <v>35</v>
      </c>
      <c r="E175" s="1">
        <v>45033</v>
      </c>
      <c r="F175" s="3">
        <v>1500</v>
      </c>
      <c r="G175" s="3">
        <v>42000</v>
      </c>
      <c r="H175" s="3">
        <v>29.3</v>
      </c>
      <c r="I175" s="3">
        <v>54276.73</v>
      </c>
      <c r="J175" s="2">
        <f t="shared" si="2"/>
        <v>0.29230309523809533</v>
      </c>
    </row>
    <row r="176" spans="1:10" x14ac:dyDescent="0.35">
      <c r="A176" t="s">
        <v>13</v>
      </c>
      <c r="B176" t="s">
        <v>17</v>
      </c>
      <c r="C176" t="s">
        <v>27</v>
      </c>
      <c r="D176" t="s">
        <v>34</v>
      </c>
      <c r="E176" s="1">
        <v>44698</v>
      </c>
      <c r="F176" s="3">
        <v>1000</v>
      </c>
      <c r="G176" s="3">
        <v>39000</v>
      </c>
      <c r="H176" s="3">
        <v>43.94</v>
      </c>
      <c r="I176" s="3">
        <v>54753.3</v>
      </c>
      <c r="J176" s="2">
        <f t="shared" si="2"/>
        <v>0.40393076923076932</v>
      </c>
    </row>
    <row r="177" spans="1:10" x14ac:dyDescent="0.35">
      <c r="A177" t="s">
        <v>15</v>
      </c>
      <c r="B177" t="s">
        <v>18</v>
      </c>
      <c r="C177" t="s">
        <v>27</v>
      </c>
      <c r="D177" t="s">
        <v>33</v>
      </c>
      <c r="E177" s="1">
        <v>45223</v>
      </c>
      <c r="F177" s="3">
        <v>3000</v>
      </c>
      <c r="G177" s="3">
        <v>63000</v>
      </c>
      <c r="H177" s="3">
        <v>62.23</v>
      </c>
      <c r="I177" s="3">
        <v>94928.97</v>
      </c>
      <c r="J177" s="2">
        <f t="shared" si="2"/>
        <v>0.50680904761904766</v>
      </c>
    </row>
    <row r="178" spans="1:10" x14ac:dyDescent="0.35">
      <c r="A178" t="s">
        <v>8</v>
      </c>
      <c r="B178" t="s">
        <v>20</v>
      </c>
      <c r="C178" t="s">
        <v>30</v>
      </c>
      <c r="D178" t="s">
        <v>34</v>
      </c>
      <c r="E178" s="1">
        <v>44990</v>
      </c>
      <c r="F178" s="3">
        <v>1500</v>
      </c>
      <c r="G178" s="3">
        <v>43500</v>
      </c>
      <c r="H178" s="3">
        <v>55.66</v>
      </c>
      <c r="I178" s="3">
        <v>64836.71</v>
      </c>
      <c r="J178" s="2">
        <f t="shared" si="2"/>
        <v>0.49049908045977009</v>
      </c>
    </row>
    <row r="179" spans="1:10" x14ac:dyDescent="0.35">
      <c r="A179" t="s">
        <v>9</v>
      </c>
      <c r="B179" t="s">
        <v>16</v>
      </c>
      <c r="C179" t="s">
        <v>27</v>
      </c>
      <c r="D179" t="s">
        <v>36</v>
      </c>
      <c r="E179" s="1">
        <v>43926</v>
      </c>
      <c r="F179" s="3">
        <v>1000</v>
      </c>
      <c r="G179" s="3">
        <v>64000</v>
      </c>
      <c r="H179" s="3">
        <v>25.24</v>
      </c>
      <c r="I179" s="3">
        <v>97419.58</v>
      </c>
      <c r="J179" s="2">
        <f t="shared" si="2"/>
        <v>0.52218093750000005</v>
      </c>
    </row>
    <row r="180" spans="1:10" x14ac:dyDescent="0.35">
      <c r="A180" t="s">
        <v>7</v>
      </c>
      <c r="B180" t="s">
        <v>16</v>
      </c>
      <c r="C180" t="s">
        <v>26</v>
      </c>
      <c r="D180" t="s">
        <v>34</v>
      </c>
      <c r="E180" s="1">
        <v>44124</v>
      </c>
      <c r="F180" s="3">
        <v>3000</v>
      </c>
      <c r="G180" s="3">
        <v>174000</v>
      </c>
      <c r="H180" s="3">
        <v>10.67</v>
      </c>
      <c r="I180" s="3">
        <v>141381.47</v>
      </c>
      <c r="J180" s="2">
        <f t="shared" si="2"/>
        <v>-0.187462816091954</v>
      </c>
    </row>
    <row r="181" spans="1:10" x14ac:dyDescent="0.35">
      <c r="A181" t="s">
        <v>13</v>
      </c>
      <c r="B181" t="s">
        <v>16</v>
      </c>
      <c r="C181" t="s">
        <v>27</v>
      </c>
      <c r="D181" t="s">
        <v>32</v>
      </c>
      <c r="E181" s="1">
        <v>44763</v>
      </c>
      <c r="F181" s="3">
        <v>3000</v>
      </c>
      <c r="G181" s="3">
        <v>111000</v>
      </c>
      <c r="H181" s="3">
        <v>57.56</v>
      </c>
      <c r="I181" s="3">
        <v>111897.2</v>
      </c>
      <c r="J181" s="2">
        <f t="shared" si="2"/>
        <v>8.0828828828828567E-3</v>
      </c>
    </row>
    <row r="182" spans="1:10" x14ac:dyDescent="0.35">
      <c r="A182" t="s">
        <v>12</v>
      </c>
      <c r="B182" t="s">
        <v>17</v>
      </c>
      <c r="C182" t="s">
        <v>23</v>
      </c>
      <c r="D182" t="s">
        <v>33</v>
      </c>
      <c r="E182" s="1">
        <v>43868</v>
      </c>
      <c r="F182" s="3">
        <v>2000</v>
      </c>
      <c r="G182" s="3">
        <v>132000</v>
      </c>
      <c r="H182" s="3">
        <v>50.57</v>
      </c>
      <c r="I182" s="3">
        <v>186431.31</v>
      </c>
      <c r="J182" s="2">
        <f t="shared" si="2"/>
        <v>0.41235840909090909</v>
      </c>
    </row>
    <row r="183" spans="1:10" x14ac:dyDescent="0.35">
      <c r="A183" t="s">
        <v>9</v>
      </c>
      <c r="B183" t="s">
        <v>17</v>
      </c>
      <c r="C183" t="s">
        <v>23</v>
      </c>
      <c r="D183" t="s">
        <v>34</v>
      </c>
      <c r="E183" s="1">
        <v>45195</v>
      </c>
      <c r="F183" s="3">
        <v>1000</v>
      </c>
      <c r="G183" s="3">
        <v>22000</v>
      </c>
      <c r="H183" s="3">
        <v>40.75</v>
      </c>
      <c r="I183" s="3">
        <v>32925.51</v>
      </c>
      <c r="J183" s="2">
        <f t="shared" si="2"/>
        <v>0.49661409090909098</v>
      </c>
    </row>
    <row r="184" spans="1:10" x14ac:dyDescent="0.35">
      <c r="A184" t="s">
        <v>12</v>
      </c>
      <c r="B184" t="s">
        <v>16</v>
      </c>
      <c r="C184" t="s">
        <v>28</v>
      </c>
      <c r="D184" t="s">
        <v>36</v>
      </c>
      <c r="E184" s="1">
        <v>45041</v>
      </c>
      <c r="F184" s="3">
        <v>2000</v>
      </c>
      <c r="G184" s="3">
        <v>54000</v>
      </c>
      <c r="H184" s="3">
        <v>26.14</v>
      </c>
      <c r="I184" s="3">
        <v>86326.55</v>
      </c>
      <c r="J184" s="2">
        <f t="shared" si="2"/>
        <v>0.59863981481481487</v>
      </c>
    </row>
    <row r="185" spans="1:10" x14ac:dyDescent="0.35">
      <c r="A185" t="s">
        <v>9</v>
      </c>
      <c r="B185" t="s">
        <v>19</v>
      </c>
      <c r="C185" t="s">
        <v>22</v>
      </c>
      <c r="D185" t="s">
        <v>36</v>
      </c>
      <c r="E185" s="1">
        <v>44979</v>
      </c>
      <c r="F185" s="3">
        <v>3000</v>
      </c>
      <c r="G185" s="3">
        <v>87000</v>
      </c>
      <c r="H185" s="3">
        <v>68.73</v>
      </c>
      <c r="I185" s="3">
        <v>97403.32</v>
      </c>
      <c r="J185" s="2">
        <f t="shared" si="2"/>
        <v>0.11957839080459778</v>
      </c>
    </row>
    <row r="186" spans="1:10" x14ac:dyDescent="0.35">
      <c r="A186" t="s">
        <v>8</v>
      </c>
      <c r="B186" t="s">
        <v>19</v>
      </c>
      <c r="C186" t="s">
        <v>28</v>
      </c>
      <c r="D186" t="s">
        <v>35</v>
      </c>
      <c r="E186" s="1">
        <v>43901</v>
      </c>
      <c r="F186" s="3">
        <v>1000</v>
      </c>
      <c r="G186" s="3">
        <v>65000</v>
      </c>
      <c r="H186" s="3">
        <v>19.48</v>
      </c>
      <c r="I186" s="3">
        <v>67087.360000000001</v>
      </c>
      <c r="J186" s="2">
        <f t="shared" si="2"/>
        <v>3.2113230769230776E-2</v>
      </c>
    </row>
    <row r="187" spans="1:10" x14ac:dyDescent="0.35">
      <c r="A187" t="s">
        <v>6</v>
      </c>
      <c r="B187" t="s">
        <v>19</v>
      </c>
      <c r="C187" t="s">
        <v>25</v>
      </c>
      <c r="D187" t="s">
        <v>33</v>
      </c>
      <c r="E187" s="1">
        <v>44897</v>
      </c>
      <c r="F187" s="3">
        <v>1000</v>
      </c>
      <c r="G187" s="3">
        <v>32000</v>
      </c>
      <c r="H187" s="3">
        <v>58.13</v>
      </c>
      <c r="I187" s="3">
        <v>34865.93</v>
      </c>
      <c r="J187" s="2">
        <f t="shared" si="2"/>
        <v>8.9560312500000003E-2</v>
      </c>
    </row>
    <row r="188" spans="1:10" x14ac:dyDescent="0.35">
      <c r="A188" t="s">
        <v>8</v>
      </c>
      <c r="B188" t="s">
        <v>18</v>
      </c>
      <c r="C188" t="s">
        <v>26</v>
      </c>
      <c r="D188" t="s">
        <v>34</v>
      </c>
      <c r="E188" s="1">
        <v>44719</v>
      </c>
      <c r="F188" s="3">
        <v>3000</v>
      </c>
      <c r="G188" s="3">
        <v>114000</v>
      </c>
      <c r="H188" s="3">
        <v>30.49</v>
      </c>
      <c r="I188" s="3">
        <v>164041.85999999999</v>
      </c>
      <c r="J188" s="2">
        <f t="shared" si="2"/>
        <v>0.43896368421052617</v>
      </c>
    </row>
    <row r="189" spans="1:10" x14ac:dyDescent="0.35">
      <c r="A189" t="s">
        <v>6</v>
      </c>
      <c r="B189" t="s">
        <v>19</v>
      </c>
      <c r="C189" t="s">
        <v>28</v>
      </c>
      <c r="D189" t="s">
        <v>32</v>
      </c>
      <c r="E189" s="1">
        <v>44645</v>
      </c>
      <c r="F189" s="3">
        <v>2000</v>
      </c>
      <c r="G189" s="3">
        <v>80000</v>
      </c>
      <c r="H189" s="3">
        <v>49.9</v>
      </c>
      <c r="I189" s="3">
        <v>126228.15</v>
      </c>
      <c r="J189" s="2">
        <f t="shared" si="2"/>
        <v>0.5778518749999999</v>
      </c>
    </row>
    <row r="190" spans="1:10" x14ac:dyDescent="0.35">
      <c r="A190" t="s">
        <v>8</v>
      </c>
      <c r="B190" t="s">
        <v>19</v>
      </c>
      <c r="C190" t="s">
        <v>25</v>
      </c>
      <c r="D190" t="s">
        <v>35</v>
      </c>
      <c r="E190" s="1">
        <v>45330</v>
      </c>
      <c r="F190" s="3">
        <v>500</v>
      </c>
      <c r="G190" s="3">
        <v>9000</v>
      </c>
      <c r="H190" s="3">
        <v>18.600000000000001</v>
      </c>
      <c r="I190" s="3">
        <v>10634.55</v>
      </c>
      <c r="J190" s="2">
        <f t="shared" si="2"/>
        <v>0.18161666666666659</v>
      </c>
    </row>
    <row r="191" spans="1:10" x14ac:dyDescent="0.35">
      <c r="A191" t="s">
        <v>12</v>
      </c>
      <c r="B191" t="s">
        <v>20</v>
      </c>
      <c r="C191" t="s">
        <v>22</v>
      </c>
      <c r="D191" t="s">
        <v>32</v>
      </c>
      <c r="E191" s="1">
        <v>45219</v>
      </c>
      <c r="F191" s="3">
        <v>2000</v>
      </c>
      <c r="G191" s="3">
        <v>42000</v>
      </c>
      <c r="H191" s="3">
        <v>32.19</v>
      </c>
      <c r="I191" s="3">
        <v>64517.93</v>
      </c>
      <c r="J191" s="2">
        <f t="shared" si="2"/>
        <v>0.53614119047619047</v>
      </c>
    </row>
    <row r="192" spans="1:10" x14ac:dyDescent="0.35">
      <c r="A192" t="s">
        <v>13</v>
      </c>
      <c r="B192" t="s">
        <v>16</v>
      </c>
      <c r="C192" t="s">
        <v>29</v>
      </c>
      <c r="D192" t="s">
        <v>35</v>
      </c>
      <c r="E192" s="1">
        <v>44418</v>
      </c>
      <c r="F192" s="3">
        <v>1500</v>
      </c>
      <c r="G192" s="3">
        <v>72000</v>
      </c>
      <c r="H192" s="3">
        <v>39.18</v>
      </c>
      <c r="I192" s="3">
        <v>80339.429999999993</v>
      </c>
      <c r="J192" s="2">
        <f t="shared" si="2"/>
        <v>0.11582541666666657</v>
      </c>
    </row>
    <row r="193" spans="1:10" x14ac:dyDescent="0.35">
      <c r="A193" t="s">
        <v>14</v>
      </c>
      <c r="B193" t="s">
        <v>19</v>
      </c>
      <c r="C193" t="s">
        <v>21</v>
      </c>
      <c r="D193" t="s">
        <v>35</v>
      </c>
      <c r="E193" s="1">
        <v>44580</v>
      </c>
      <c r="F193" s="3">
        <v>1000</v>
      </c>
      <c r="G193" s="3">
        <v>43000</v>
      </c>
      <c r="H193" s="3">
        <v>63.33</v>
      </c>
      <c r="I193" s="3">
        <v>60448.56</v>
      </c>
      <c r="J193" s="2">
        <f t="shared" si="2"/>
        <v>0.40578046511627902</v>
      </c>
    </row>
    <row r="194" spans="1:10" x14ac:dyDescent="0.35">
      <c r="A194" t="s">
        <v>7</v>
      </c>
      <c r="B194" t="s">
        <v>18</v>
      </c>
      <c r="C194" t="s">
        <v>26</v>
      </c>
      <c r="D194" t="s">
        <v>31</v>
      </c>
      <c r="E194" s="1">
        <v>44939</v>
      </c>
      <c r="F194" s="3">
        <v>3000</v>
      </c>
      <c r="G194" s="3">
        <v>93000</v>
      </c>
      <c r="H194" s="3">
        <v>11.38</v>
      </c>
      <c r="I194" s="3">
        <v>114260.47</v>
      </c>
      <c r="J194" s="2">
        <f t="shared" si="2"/>
        <v>0.22860720430107528</v>
      </c>
    </row>
    <row r="195" spans="1:10" x14ac:dyDescent="0.35">
      <c r="A195" t="s">
        <v>8</v>
      </c>
      <c r="B195" t="s">
        <v>16</v>
      </c>
      <c r="C195" t="s">
        <v>26</v>
      </c>
      <c r="D195" t="s">
        <v>32</v>
      </c>
      <c r="E195" s="1">
        <v>44467</v>
      </c>
      <c r="F195" s="3">
        <v>500</v>
      </c>
      <c r="G195" s="3">
        <v>23000</v>
      </c>
      <c r="H195" s="3">
        <v>30.66</v>
      </c>
      <c r="I195" s="3">
        <v>20703.259999999998</v>
      </c>
      <c r="J195" s="2">
        <f t="shared" ref="J195:J258" si="3">(I195-G195)/G195</f>
        <v>-9.9858260869565285E-2</v>
      </c>
    </row>
    <row r="196" spans="1:10" x14ac:dyDescent="0.35">
      <c r="A196" t="s">
        <v>13</v>
      </c>
      <c r="B196" t="s">
        <v>16</v>
      </c>
      <c r="C196" t="s">
        <v>21</v>
      </c>
      <c r="D196" t="s">
        <v>33</v>
      </c>
      <c r="E196" s="1">
        <v>44581</v>
      </c>
      <c r="F196" s="3">
        <v>1000</v>
      </c>
      <c r="G196" s="3">
        <v>43000</v>
      </c>
      <c r="H196" s="3">
        <v>53.56</v>
      </c>
      <c r="I196" s="3">
        <v>53071.98</v>
      </c>
      <c r="J196" s="2">
        <f t="shared" si="3"/>
        <v>0.2342320930232559</v>
      </c>
    </row>
    <row r="197" spans="1:10" x14ac:dyDescent="0.35">
      <c r="A197" t="s">
        <v>12</v>
      </c>
      <c r="B197" t="s">
        <v>16</v>
      </c>
      <c r="C197" t="s">
        <v>22</v>
      </c>
      <c r="D197" t="s">
        <v>35</v>
      </c>
      <c r="E197" s="1">
        <v>44732</v>
      </c>
      <c r="F197" s="3">
        <v>1000</v>
      </c>
      <c r="G197" s="3">
        <v>38000</v>
      </c>
      <c r="H197" s="3">
        <v>49.02</v>
      </c>
      <c r="I197" s="3">
        <v>33261.32</v>
      </c>
      <c r="J197" s="2">
        <f t="shared" si="3"/>
        <v>-0.12470210526315791</v>
      </c>
    </row>
    <row r="198" spans="1:10" x14ac:dyDescent="0.35">
      <c r="A198" t="s">
        <v>11</v>
      </c>
      <c r="B198" t="s">
        <v>20</v>
      </c>
      <c r="C198" t="s">
        <v>30</v>
      </c>
      <c r="D198" t="s">
        <v>35</v>
      </c>
      <c r="E198" s="1">
        <v>44099</v>
      </c>
      <c r="F198" s="3">
        <v>1000</v>
      </c>
      <c r="G198" s="3">
        <v>59000</v>
      </c>
      <c r="H198" s="3">
        <v>11.48</v>
      </c>
      <c r="I198" s="3">
        <v>92310.06</v>
      </c>
      <c r="J198" s="2">
        <f t="shared" si="3"/>
        <v>0.56457728813559316</v>
      </c>
    </row>
    <row r="199" spans="1:10" x14ac:dyDescent="0.35">
      <c r="A199" t="s">
        <v>9</v>
      </c>
      <c r="B199" t="s">
        <v>17</v>
      </c>
      <c r="C199" t="s">
        <v>24</v>
      </c>
      <c r="D199" t="s">
        <v>34</v>
      </c>
      <c r="E199" s="1">
        <v>44325</v>
      </c>
      <c r="F199" s="3">
        <v>1500</v>
      </c>
      <c r="G199" s="3">
        <v>76500</v>
      </c>
      <c r="H199" s="3">
        <v>42.91</v>
      </c>
      <c r="I199" s="3">
        <v>105525.81</v>
      </c>
      <c r="J199" s="2">
        <f t="shared" si="3"/>
        <v>0.37942235294117643</v>
      </c>
    </row>
    <row r="200" spans="1:10" x14ac:dyDescent="0.35">
      <c r="A200" t="s">
        <v>14</v>
      </c>
      <c r="B200" t="s">
        <v>18</v>
      </c>
      <c r="C200" t="s">
        <v>28</v>
      </c>
      <c r="D200" t="s">
        <v>31</v>
      </c>
      <c r="E200" s="1">
        <v>45090</v>
      </c>
      <c r="F200" s="3">
        <v>500</v>
      </c>
      <c r="G200" s="3">
        <v>13000</v>
      </c>
      <c r="H200" s="3">
        <v>49.24</v>
      </c>
      <c r="I200" s="3">
        <v>15562.46</v>
      </c>
      <c r="J200" s="2">
        <f t="shared" si="3"/>
        <v>0.19711230769230761</v>
      </c>
    </row>
    <row r="201" spans="1:10" x14ac:dyDescent="0.35">
      <c r="A201" t="s">
        <v>8</v>
      </c>
      <c r="B201" t="s">
        <v>19</v>
      </c>
      <c r="C201" t="s">
        <v>21</v>
      </c>
      <c r="D201" t="s">
        <v>34</v>
      </c>
      <c r="E201" s="1">
        <v>44169</v>
      </c>
      <c r="F201" s="3">
        <v>1000</v>
      </c>
      <c r="G201" s="3">
        <v>56000</v>
      </c>
      <c r="H201" s="3">
        <v>32.31</v>
      </c>
      <c r="I201" s="3">
        <v>68262.12</v>
      </c>
      <c r="J201" s="2">
        <f t="shared" si="3"/>
        <v>0.21896642857142848</v>
      </c>
    </row>
    <row r="202" spans="1:10" x14ac:dyDescent="0.35">
      <c r="A202" t="s">
        <v>13</v>
      </c>
      <c r="B202" t="s">
        <v>20</v>
      </c>
      <c r="C202" t="s">
        <v>22</v>
      </c>
      <c r="D202" t="s">
        <v>35</v>
      </c>
      <c r="E202" s="1">
        <v>43968</v>
      </c>
      <c r="F202" s="3">
        <v>1000</v>
      </c>
      <c r="G202" s="3">
        <v>63000</v>
      </c>
      <c r="H202" s="3">
        <v>59.73</v>
      </c>
      <c r="I202" s="3">
        <v>53205.279999999999</v>
      </c>
      <c r="J202" s="2">
        <f t="shared" si="3"/>
        <v>-0.15547174603174604</v>
      </c>
    </row>
    <row r="203" spans="1:10" x14ac:dyDescent="0.35">
      <c r="A203" t="s">
        <v>14</v>
      </c>
      <c r="B203" t="s">
        <v>18</v>
      </c>
      <c r="C203" t="s">
        <v>22</v>
      </c>
      <c r="D203" t="s">
        <v>36</v>
      </c>
      <c r="E203" s="1">
        <v>43862</v>
      </c>
      <c r="F203" s="3">
        <v>2000</v>
      </c>
      <c r="G203" s="3">
        <v>134000</v>
      </c>
      <c r="H203" s="3">
        <v>66.77</v>
      </c>
      <c r="I203" s="3">
        <v>203794.04</v>
      </c>
      <c r="J203" s="2">
        <f t="shared" si="3"/>
        <v>0.52085104477611943</v>
      </c>
    </row>
    <row r="204" spans="1:10" x14ac:dyDescent="0.35">
      <c r="A204" t="s">
        <v>6</v>
      </c>
      <c r="B204" t="s">
        <v>17</v>
      </c>
      <c r="C204" t="s">
        <v>23</v>
      </c>
      <c r="D204" t="s">
        <v>31</v>
      </c>
      <c r="E204" s="1">
        <v>44697</v>
      </c>
      <c r="F204" s="3">
        <v>3000</v>
      </c>
      <c r="G204" s="3">
        <v>117000</v>
      </c>
      <c r="H204" s="3">
        <v>44.42</v>
      </c>
      <c r="I204" s="3">
        <v>111891.52</v>
      </c>
      <c r="J204" s="2">
        <f t="shared" si="3"/>
        <v>-4.3662222222222186E-2</v>
      </c>
    </row>
    <row r="205" spans="1:10" x14ac:dyDescent="0.35">
      <c r="A205" t="s">
        <v>9</v>
      </c>
      <c r="B205" t="s">
        <v>16</v>
      </c>
      <c r="C205" t="s">
        <v>28</v>
      </c>
      <c r="D205" t="s">
        <v>33</v>
      </c>
      <c r="E205" s="1">
        <v>44131</v>
      </c>
      <c r="F205" s="3">
        <v>1500</v>
      </c>
      <c r="G205" s="3">
        <v>87000</v>
      </c>
      <c r="H205" s="3">
        <v>62.62</v>
      </c>
      <c r="I205" s="3">
        <v>104797.73</v>
      </c>
      <c r="J205" s="2">
        <f t="shared" si="3"/>
        <v>0.20457160919540227</v>
      </c>
    </row>
    <row r="206" spans="1:10" x14ac:dyDescent="0.35">
      <c r="A206" t="s">
        <v>11</v>
      </c>
      <c r="B206" t="s">
        <v>17</v>
      </c>
      <c r="C206" t="s">
        <v>24</v>
      </c>
      <c r="D206" t="s">
        <v>31</v>
      </c>
      <c r="E206" s="1">
        <v>45086</v>
      </c>
      <c r="F206" s="3">
        <v>2000</v>
      </c>
      <c r="G206" s="3">
        <v>52000</v>
      </c>
      <c r="H206" s="3">
        <v>38.020000000000003</v>
      </c>
      <c r="I206" s="3">
        <v>67488.86</v>
      </c>
      <c r="J206" s="2">
        <f t="shared" si="3"/>
        <v>0.2978626923076923</v>
      </c>
    </row>
    <row r="207" spans="1:10" x14ac:dyDescent="0.35">
      <c r="A207" t="s">
        <v>10</v>
      </c>
      <c r="B207" t="s">
        <v>20</v>
      </c>
      <c r="C207" t="s">
        <v>23</v>
      </c>
      <c r="D207" t="s">
        <v>32</v>
      </c>
      <c r="E207" s="1">
        <v>43881</v>
      </c>
      <c r="F207" s="3">
        <v>3000</v>
      </c>
      <c r="G207" s="3">
        <v>198000</v>
      </c>
      <c r="H207" s="3">
        <v>52.39</v>
      </c>
      <c r="I207" s="3">
        <v>187131.39</v>
      </c>
      <c r="J207" s="2">
        <f t="shared" si="3"/>
        <v>-5.4891969696969627E-2</v>
      </c>
    </row>
    <row r="208" spans="1:10" x14ac:dyDescent="0.35">
      <c r="A208" t="s">
        <v>10</v>
      </c>
      <c r="B208" t="s">
        <v>18</v>
      </c>
      <c r="C208" t="s">
        <v>30</v>
      </c>
      <c r="D208" t="s">
        <v>32</v>
      </c>
      <c r="E208" s="1">
        <v>44071</v>
      </c>
      <c r="F208" s="3">
        <v>3000</v>
      </c>
      <c r="G208" s="3">
        <v>180000</v>
      </c>
      <c r="H208" s="3">
        <v>41.31</v>
      </c>
      <c r="I208" s="3">
        <v>234019.20000000001</v>
      </c>
      <c r="J208" s="2">
        <f t="shared" si="3"/>
        <v>0.30010666666666674</v>
      </c>
    </row>
    <row r="209" spans="1:10" x14ac:dyDescent="0.35">
      <c r="A209" t="s">
        <v>10</v>
      </c>
      <c r="B209" t="s">
        <v>16</v>
      </c>
      <c r="C209" t="s">
        <v>22</v>
      </c>
      <c r="D209" t="s">
        <v>34</v>
      </c>
      <c r="E209" s="1">
        <v>44704</v>
      </c>
      <c r="F209" s="3">
        <v>2000</v>
      </c>
      <c r="G209" s="3">
        <v>78000</v>
      </c>
      <c r="H209" s="3">
        <v>64.27</v>
      </c>
      <c r="I209" s="3">
        <v>116779.52</v>
      </c>
      <c r="J209" s="2">
        <f t="shared" si="3"/>
        <v>0.49717333333333341</v>
      </c>
    </row>
    <row r="210" spans="1:10" x14ac:dyDescent="0.35">
      <c r="A210" t="s">
        <v>13</v>
      </c>
      <c r="B210" t="s">
        <v>16</v>
      </c>
      <c r="C210" t="s">
        <v>24</v>
      </c>
      <c r="D210" t="s">
        <v>35</v>
      </c>
      <c r="E210" s="1">
        <v>44963</v>
      </c>
      <c r="F210" s="3">
        <v>1500</v>
      </c>
      <c r="G210" s="3">
        <v>45000</v>
      </c>
      <c r="H210" s="3">
        <v>14.27</v>
      </c>
      <c r="I210" s="3">
        <v>41209.54</v>
      </c>
      <c r="J210" s="2">
        <f t="shared" si="3"/>
        <v>-8.4232444444444429E-2</v>
      </c>
    </row>
    <row r="211" spans="1:10" x14ac:dyDescent="0.35">
      <c r="A211" t="s">
        <v>15</v>
      </c>
      <c r="B211" t="s">
        <v>20</v>
      </c>
      <c r="C211" t="s">
        <v>28</v>
      </c>
      <c r="D211" t="s">
        <v>34</v>
      </c>
      <c r="E211" s="1">
        <v>43945</v>
      </c>
      <c r="F211" s="3">
        <v>1000</v>
      </c>
      <c r="G211" s="3">
        <v>64000</v>
      </c>
      <c r="H211" s="3">
        <v>59.83</v>
      </c>
      <c r="I211" s="3">
        <v>80383.31</v>
      </c>
      <c r="J211" s="2">
        <f t="shared" si="3"/>
        <v>0.25598921874999997</v>
      </c>
    </row>
    <row r="212" spans="1:10" x14ac:dyDescent="0.35">
      <c r="A212" t="s">
        <v>6</v>
      </c>
      <c r="B212" t="s">
        <v>16</v>
      </c>
      <c r="C212" t="s">
        <v>26</v>
      </c>
      <c r="D212" t="s">
        <v>31</v>
      </c>
      <c r="E212" s="1">
        <v>44918</v>
      </c>
      <c r="F212" s="3">
        <v>1000</v>
      </c>
      <c r="G212" s="3">
        <v>31000</v>
      </c>
      <c r="H212" s="3">
        <v>40.64</v>
      </c>
      <c r="I212" s="3">
        <v>38770.839999999997</v>
      </c>
      <c r="J212" s="2">
        <f t="shared" si="3"/>
        <v>0.25067225806451604</v>
      </c>
    </row>
    <row r="213" spans="1:10" x14ac:dyDescent="0.35">
      <c r="A213" t="s">
        <v>9</v>
      </c>
      <c r="B213" t="s">
        <v>19</v>
      </c>
      <c r="C213" t="s">
        <v>26</v>
      </c>
      <c r="D213" t="s">
        <v>33</v>
      </c>
      <c r="E213" s="1">
        <v>44044</v>
      </c>
      <c r="F213" s="3">
        <v>2000</v>
      </c>
      <c r="G213" s="3">
        <v>122000</v>
      </c>
      <c r="H213" s="3">
        <v>55.62</v>
      </c>
      <c r="I213" s="3">
        <v>141358.48000000001</v>
      </c>
      <c r="J213" s="2">
        <f t="shared" si="3"/>
        <v>0.15867606557377056</v>
      </c>
    </row>
    <row r="214" spans="1:10" x14ac:dyDescent="0.35">
      <c r="A214" t="s">
        <v>6</v>
      </c>
      <c r="B214" t="s">
        <v>19</v>
      </c>
      <c r="C214" t="s">
        <v>21</v>
      </c>
      <c r="D214" t="s">
        <v>33</v>
      </c>
      <c r="E214" s="1">
        <v>45031</v>
      </c>
      <c r="F214" s="3">
        <v>500</v>
      </c>
      <c r="G214" s="3">
        <v>14000</v>
      </c>
      <c r="H214" s="3">
        <v>32.14</v>
      </c>
      <c r="I214" s="3">
        <v>17257.37</v>
      </c>
      <c r="J214" s="2">
        <f t="shared" si="3"/>
        <v>0.23266928571428563</v>
      </c>
    </row>
    <row r="215" spans="1:10" x14ac:dyDescent="0.35">
      <c r="A215" t="s">
        <v>8</v>
      </c>
      <c r="B215" t="s">
        <v>19</v>
      </c>
      <c r="C215" t="s">
        <v>23</v>
      </c>
      <c r="D215" t="s">
        <v>31</v>
      </c>
      <c r="E215" s="1">
        <v>44200</v>
      </c>
      <c r="F215" s="3">
        <v>1500</v>
      </c>
      <c r="G215" s="3">
        <v>82500</v>
      </c>
      <c r="H215" s="3">
        <v>65.98</v>
      </c>
      <c r="I215" s="3">
        <v>88126.56</v>
      </c>
      <c r="J215" s="2">
        <f t="shared" si="3"/>
        <v>6.8200727272727246E-2</v>
      </c>
    </row>
    <row r="216" spans="1:10" x14ac:dyDescent="0.35">
      <c r="A216" t="s">
        <v>12</v>
      </c>
      <c r="B216" t="s">
        <v>17</v>
      </c>
      <c r="C216" t="s">
        <v>24</v>
      </c>
      <c r="D216" t="s">
        <v>31</v>
      </c>
      <c r="E216" s="1">
        <v>44222</v>
      </c>
      <c r="F216" s="3">
        <v>3000</v>
      </c>
      <c r="G216" s="3">
        <v>165000</v>
      </c>
      <c r="H216" s="3">
        <v>50.01</v>
      </c>
      <c r="I216" s="3">
        <v>202087.07</v>
      </c>
      <c r="J216" s="2">
        <f t="shared" si="3"/>
        <v>0.22477012121212125</v>
      </c>
    </row>
    <row r="217" spans="1:10" x14ac:dyDescent="0.35">
      <c r="A217" t="s">
        <v>9</v>
      </c>
      <c r="B217" t="s">
        <v>17</v>
      </c>
      <c r="C217" t="s">
        <v>24</v>
      </c>
      <c r="D217" t="s">
        <v>34</v>
      </c>
      <c r="E217" s="1">
        <v>45236</v>
      </c>
      <c r="F217" s="3">
        <v>1000</v>
      </c>
      <c r="G217" s="3">
        <v>21000</v>
      </c>
      <c r="H217" s="3">
        <v>10.65</v>
      </c>
      <c r="I217" s="3">
        <v>20326.830000000002</v>
      </c>
      <c r="J217" s="2">
        <f t="shared" si="3"/>
        <v>-3.2055714285714201E-2</v>
      </c>
    </row>
    <row r="218" spans="1:10" x14ac:dyDescent="0.35">
      <c r="A218" t="s">
        <v>15</v>
      </c>
      <c r="B218" t="s">
        <v>16</v>
      </c>
      <c r="C218" t="s">
        <v>26</v>
      </c>
      <c r="D218" t="s">
        <v>36</v>
      </c>
      <c r="E218" s="1">
        <v>44263</v>
      </c>
      <c r="F218" s="3">
        <v>3000</v>
      </c>
      <c r="G218" s="3">
        <v>159000</v>
      </c>
      <c r="H218" s="3">
        <v>21.79</v>
      </c>
      <c r="I218" s="3">
        <v>209126.76</v>
      </c>
      <c r="J218" s="2">
        <f t="shared" si="3"/>
        <v>0.31526264150943401</v>
      </c>
    </row>
    <row r="219" spans="1:10" x14ac:dyDescent="0.35">
      <c r="A219" t="s">
        <v>12</v>
      </c>
      <c r="B219" t="s">
        <v>19</v>
      </c>
      <c r="C219" t="s">
        <v>26</v>
      </c>
      <c r="D219" t="s">
        <v>36</v>
      </c>
      <c r="E219" s="1">
        <v>44076</v>
      </c>
      <c r="F219" s="3">
        <v>500</v>
      </c>
      <c r="G219" s="3">
        <v>29500</v>
      </c>
      <c r="H219" s="3">
        <v>53.63</v>
      </c>
      <c r="I219" s="3">
        <v>28927.67</v>
      </c>
      <c r="J219" s="2">
        <f t="shared" si="3"/>
        <v>-1.94010169491526E-2</v>
      </c>
    </row>
    <row r="220" spans="1:10" x14ac:dyDescent="0.35">
      <c r="A220" t="s">
        <v>13</v>
      </c>
      <c r="B220" t="s">
        <v>17</v>
      </c>
      <c r="C220" t="s">
        <v>22</v>
      </c>
      <c r="D220" t="s">
        <v>35</v>
      </c>
      <c r="E220" s="1">
        <v>43896</v>
      </c>
      <c r="F220" s="3">
        <v>2000</v>
      </c>
      <c r="G220" s="3">
        <v>130000</v>
      </c>
      <c r="H220" s="3">
        <v>16.87</v>
      </c>
      <c r="I220" s="3">
        <v>162847</v>
      </c>
      <c r="J220" s="2">
        <f t="shared" si="3"/>
        <v>0.25266923076923076</v>
      </c>
    </row>
    <row r="221" spans="1:10" x14ac:dyDescent="0.35">
      <c r="A221" t="s">
        <v>6</v>
      </c>
      <c r="B221" t="s">
        <v>18</v>
      </c>
      <c r="C221" t="s">
        <v>27</v>
      </c>
      <c r="D221" t="s">
        <v>32</v>
      </c>
      <c r="E221" s="1">
        <v>43994</v>
      </c>
      <c r="F221" s="3">
        <v>1500</v>
      </c>
      <c r="G221" s="3">
        <v>93000</v>
      </c>
      <c r="H221" s="3">
        <v>24.17</v>
      </c>
      <c r="I221" s="3">
        <v>115370.45</v>
      </c>
      <c r="J221" s="2">
        <f t="shared" si="3"/>
        <v>0.24054247311827953</v>
      </c>
    </row>
    <row r="222" spans="1:10" x14ac:dyDescent="0.35">
      <c r="A222" t="s">
        <v>12</v>
      </c>
      <c r="B222" t="s">
        <v>16</v>
      </c>
      <c r="C222" t="s">
        <v>28</v>
      </c>
      <c r="D222" t="s">
        <v>31</v>
      </c>
      <c r="E222" s="1">
        <v>44902</v>
      </c>
      <c r="F222" s="3">
        <v>1000</v>
      </c>
      <c r="G222" s="3">
        <v>32000</v>
      </c>
      <c r="H222" s="3">
        <v>55.56</v>
      </c>
      <c r="I222" s="3">
        <v>30068.63</v>
      </c>
      <c r="J222" s="2">
        <f t="shared" si="3"/>
        <v>-6.0355312499999966E-2</v>
      </c>
    </row>
    <row r="223" spans="1:10" x14ac:dyDescent="0.35">
      <c r="A223" t="s">
        <v>14</v>
      </c>
      <c r="B223" t="s">
        <v>16</v>
      </c>
      <c r="C223" t="s">
        <v>25</v>
      </c>
      <c r="D223" t="s">
        <v>36</v>
      </c>
      <c r="E223" s="1">
        <v>44243</v>
      </c>
      <c r="F223" s="3">
        <v>500</v>
      </c>
      <c r="G223" s="3">
        <v>27000</v>
      </c>
      <c r="H223" s="3">
        <v>42.29</v>
      </c>
      <c r="I223" s="3">
        <v>24074.46</v>
      </c>
      <c r="J223" s="2">
        <f t="shared" si="3"/>
        <v>-0.10835333333333337</v>
      </c>
    </row>
    <row r="224" spans="1:10" x14ac:dyDescent="0.35">
      <c r="A224" t="s">
        <v>12</v>
      </c>
      <c r="B224" t="s">
        <v>18</v>
      </c>
      <c r="C224" t="s">
        <v>26</v>
      </c>
      <c r="D224" t="s">
        <v>36</v>
      </c>
      <c r="E224" s="1">
        <v>44388</v>
      </c>
      <c r="F224" s="3">
        <v>3000</v>
      </c>
      <c r="G224" s="3">
        <v>147000</v>
      </c>
      <c r="H224" s="3">
        <v>54.21</v>
      </c>
      <c r="I224" s="3">
        <v>126784.41</v>
      </c>
      <c r="J224" s="2">
        <f t="shared" si="3"/>
        <v>-0.13752102040816325</v>
      </c>
    </row>
    <row r="225" spans="1:10" x14ac:dyDescent="0.35">
      <c r="A225" t="s">
        <v>6</v>
      </c>
      <c r="B225" t="s">
        <v>16</v>
      </c>
      <c r="C225" t="s">
        <v>25</v>
      </c>
      <c r="D225" t="s">
        <v>35</v>
      </c>
      <c r="E225" s="1">
        <v>45198</v>
      </c>
      <c r="F225" s="3">
        <v>1500</v>
      </c>
      <c r="G225" s="3">
        <v>33000</v>
      </c>
      <c r="H225" s="3">
        <v>58.91</v>
      </c>
      <c r="I225" s="3">
        <v>37156.75</v>
      </c>
      <c r="J225" s="2">
        <f t="shared" si="3"/>
        <v>0.12596212121212122</v>
      </c>
    </row>
    <row r="226" spans="1:10" x14ac:dyDescent="0.35">
      <c r="A226" t="s">
        <v>7</v>
      </c>
      <c r="B226" t="s">
        <v>16</v>
      </c>
      <c r="C226" t="s">
        <v>27</v>
      </c>
      <c r="D226" t="s">
        <v>34</v>
      </c>
      <c r="E226" s="1">
        <v>44253</v>
      </c>
      <c r="F226" s="3">
        <v>1500</v>
      </c>
      <c r="G226" s="3">
        <v>81000</v>
      </c>
      <c r="H226" s="3">
        <v>45.93</v>
      </c>
      <c r="I226" s="3">
        <v>95966.01</v>
      </c>
      <c r="J226" s="2">
        <f t="shared" si="3"/>
        <v>0.18476555555555549</v>
      </c>
    </row>
    <row r="227" spans="1:10" x14ac:dyDescent="0.35">
      <c r="A227" t="s">
        <v>11</v>
      </c>
      <c r="B227" t="s">
        <v>20</v>
      </c>
      <c r="C227" t="s">
        <v>30</v>
      </c>
      <c r="D227" t="s">
        <v>33</v>
      </c>
      <c r="E227" s="1">
        <v>44727</v>
      </c>
      <c r="F227" s="3">
        <v>1000</v>
      </c>
      <c r="G227" s="3">
        <v>38000</v>
      </c>
      <c r="H227" s="3">
        <v>57.48</v>
      </c>
      <c r="I227" s="3">
        <v>53847.15</v>
      </c>
      <c r="J227" s="2">
        <f t="shared" si="3"/>
        <v>0.41703026315789476</v>
      </c>
    </row>
    <row r="228" spans="1:10" x14ac:dyDescent="0.35">
      <c r="A228" t="s">
        <v>14</v>
      </c>
      <c r="B228" t="s">
        <v>20</v>
      </c>
      <c r="C228" t="s">
        <v>26</v>
      </c>
      <c r="D228" t="s">
        <v>35</v>
      </c>
      <c r="E228" s="1">
        <v>43956</v>
      </c>
      <c r="F228" s="3">
        <v>1000</v>
      </c>
      <c r="G228" s="3">
        <v>63000</v>
      </c>
      <c r="H228" s="3">
        <v>35.08</v>
      </c>
      <c r="I228" s="3">
        <v>93240.3</v>
      </c>
      <c r="J228" s="2">
        <f t="shared" si="3"/>
        <v>0.48000476190476193</v>
      </c>
    </row>
    <row r="229" spans="1:10" x14ac:dyDescent="0.35">
      <c r="A229" t="s">
        <v>10</v>
      </c>
      <c r="B229" t="s">
        <v>20</v>
      </c>
      <c r="C229" t="s">
        <v>21</v>
      </c>
      <c r="D229" t="s">
        <v>34</v>
      </c>
      <c r="E229" s="1">
        <v>44406</v>
      </c>
      <c r="F229" s="3">
        <v>3000</v>
      </c>
      <c r="G229" s="3">
        <v>144000</v>
      </c>
      <c r="H229" s="3">
        <v>12.91</v>
      </c>
      <c r="I229" s="3">
        <v>137953.28</v>
      </c>
      <c r="J229" s="2">
        <f t="shared" si="3"/>
        <v>-4.1991111111111118E-2</v>
      </c>
    </row>
    <row r="230" spans="1:10" x14ac:dyDescent="0.35">
      <c r="A230" t="s">
        <v>11</v>
      </c>
      <c r="B230" t="s">
        <v>20</v>
      </c>
      <c r="C230" t="s">
        <v>28</v>
      </c>
      <c r="D230" t="s">
        <v>36</v>
      </c>
      <c r="E230" s="1">
        <v>44847</v>
      </c>
      <c r="F230" s="3">
        <v>3000</v>
      </c>
      <c r="G230" s="3">
        <v>102000</v>
      </c>
      <c r="H230" s="3">
        <v>37.99</v>
      </c>
      <c r="I230" s="3">
        <v>149176.45000000001</v>
      </c>
      <c r="J230" s="2">
        <f t="shared" si="3"/>
        <v>0.4625142156862746</v>
      </c>
    </row>
    <row r="231" spans="1:10" x14ac:dyDescent="0.35">
      <c r="A231" t="s">
        <v>9</v>
      </c>
      <c r="B231" t="s">
        <v>16</v>
      </c>
      <c r="C231" t="s">
        <v>30</v>
      </c>
      <c r="D231" t="s">
        <v>35</v>
      </c>
      <c r="E231" s="1">
        <v>44521</v>
      </c>
      <c r="F231" s="3">
        <v>3000</v>
      </c>
      <c r="G231" s="3">
        <v>135000</v>
      </c>
      <c r="H231" s="3">
        <v>42.78</v>
      </c>
      <c r="I231" s="3">
        <v>214847.17</v>
      </c>
      <c r="J231" s="2">
        <f t="shared" si="3"/>
        <v>0.59146051851851866</v>
      </c>
    </row>
    <row r="232" spans="1:10" x14ac:dyDescent="0.35">
      <c r="A232" t="s">
        <v>14</v>
      </c>
      <c r="B232" t="s">
        <v>17</v>
      </c>
      <c r="C232" t="s">
        <v>30</v>
      </c>
      <c r="D232" t="s">
        <v>35</v>
      </c>
      <c r="E232" s="1">
        <v>44052</v>
      </c>
      <c r="F232" s="3">
        <v>1000</v>
      </c>
      <c r="G232" s="3">
        <v>60000</v>
      </c>
      <c r="H232" s="3">
        <v>19.940000000000001</v>
      </c>
      <c r="I232" s="3">
        <v>93322.09</v>
      </c>
      <c r="J232" s="2">
        <f t="shared" si="3"/>
        <v>0.55536816666666666</v>
      </c>
    </row>
    <row r="233" spans="1:10" x14ac:dyDescent="0.35">
      <c r="A233" t="s">
        <v>14</v>
      </c>
      <c r="B233" t="s">
        <v>20</v>
      </c>
      <c r="C233" t="s">
        <v>29</v>
      </c>
      <c r="D233" t="s">
        <v>34</v>
      </c>
      <c r="E233" s="1">
        <v>44275</v>
      </c>
      <c r="F233" s="3">
        <v>1000</v>
      </c>
      <c r="G233" s="3">
        <v>53000</v>
      </c>
      <c r="H233" s="3">
        <v>49.36</v>
      </c>
      <c r="I233" s="3">
        <v>46573.919999999998</v>
      </c>
      <c r="J233" s="2">
        <f t="shared" si="3"/>
        <v>-0.12124679245283022</v>
      </c>
    </row>
    <row r="234" spans="1:10" x14ac:dyDescent="0.35">
      <c r="A234" t="s">
        <v>14</v>
      </c>
      <c r="B234" t="s">
        <v>19</v>
      </c>
      <c r="C234" t="s">
        <v>28</v>
      </c>
      <c r="D234" t="s">
        <v>36</v>
      </c>
      <c r="E234" s="1">
        <v>44622</v>
      </c>
      <c r="F234" s="3">
        <v>1500</v>
      </c>
      <c r="G234" s="3">
        <v>61500</v>
      </c>
      <c r="H234" s="3">
        <v>48.43</v>
      </c>
      <c r="I234" s="3">
        <v>71564.92</v>
      </c>
      <c r="J234" s="2">
        <f t="shared" si="3"/>
        <v>0.16365723577235769</v>
      </c>
    </row>
    <row r="235" spans="1:10" x14ac:dyDescent="0.35">
      <c r="A235" t="s">
        <v>14</v>
      </c>
      <c r="B235" t="s">
        <v>19</v>
      </c>
      <c r="C235" t="s">
        <v>26</v>
      </c>
      <c r="D235" t="s">
        <v>36</v>
      </c>
      <c r="E235" s="1">
        <v>44652</v>
      </c>
      <c r="F235" s="3">
        <v>1500</v>
      </c>
      <c r="G235" s="3">
        <v>60000</v>
      </c>
      <c r="H235" s="3">
        <v>17.89</v>
      </c>
      <c r="I235" s="3">
        <v>78403.839999999997</v>
      </c>
      <c r="J235" s="2">
        <f t="shared" si="3"/>
        <v>0.3067306666666666</v>
      </c>
    </row>
    <row r="236" spans="1:10" x14ac:dyDescent="0.35">
      <c r="A236" t="s">
        <v>7</v>
      </c>
      <c r="B236" t="s">
        <v>20</v>
      </c>
      <c r="C236" t="s">
        <v>26</v>
      </c>
      <c r="D236" t="s">
        <v>31</v>
      </c>
      <c r="E236" s="1">
        <v>44527</v>
      </c>
      <c r="F236" s="3">
        <v>1000</v>
      </c>
      <c r="G236" s="3">
        <v>44000</v>
      </c>
      <c r="H236" s="3">
        <v>54.22</v>
      </c>
      <c r="I236" s="3">
        <v>35344.04</v>
      </c>
      <c r="J236" s="2">
        <f t="shared" si="3"/>
        <v>-0.19672636363636362</v>
      </c>
    </row>
    <row r="237" spans="1:10" x14ac:dyDescent="0.35">
      <c r="A237" t="s">
        <v>14</v>
      </c>
      <c r="B237" t="s">
        <v>20</v>
      </c>
      <c r="C237" t="s">
        <v>28</v>
      </c>
      <c r="D237" t="s">
        <v>32</v>
      </c>
      <c r="E237" s="1">
        <v>44562</v>
      </c>
      <c r="F237" s="3">
        <v>3000</v>
      </c>
      <c r="G237" s="3">
        <v>129000</v>
      </c>
      <c r="H237" s="3">
        <v>23.12</v>
      </c>
      <c r="I237" s="3">
        <v>202618.78</v>
      </c>
      <c r="J237" s="2">
        <f t="shared" si="3"/>
        <v>0.57068821705426354</v>
      </c>
    </row>
    <row r="238" spans="1:10" x14ac:dyDescent="0.35">
      <c r="A238" t="s">
        <v>9</v>
      </c>
      <c r="B238" t="s">
        <v>17</v>
      </c>
      <c r="C238" t="s">
        <v>28</v>
      </c>
      <c r="D238" t="s">
        <v>32</v>
      </c>
      <c r="E238" s="1">
        <v>44411</v>
      </c>
      <c r="F238" s="3">
        <v>2000</v>
      </c>
      <c r="G238" s="3">
        <v>96000</v>
      </c>
      <c r="H238" s="3">
        <v>43.35</v>
      </c>
      <c r="I238" s="3">
        <v>104487.71</v>
      </c>
      <c r="J238" s="2">
        <f t="shared" si="3"/>
        <v>8.8413645833333401E-2</v>
      </c>
    </row>
    <row r="239" spans="1:10" x14ac:dyDescent="0.35">
      <c r="A239" t="s">
        <v>8</v>
      </c>
      <c r="B239" t="s">
        <v>18</v>
      </c>
      <c r="C239" t="s">
        <v>23</v>
      </c>
      <c r="D239" t="s">
        <v>33</v>
      </c>
      <c r="E239" s="1">
        <v>44659</v>
      </c>
      <c r="F239" s="3">
        <v>500</v>
      </c>
      <c r="G239" s="3">
        <v>20000</v>
      </c>
      <c r="H239" s="3">
        <v>35.36</v>
      </c>
      <c r="I239" s="3">
        <v>28978.67</v>
      </c>
      <c r="J239" s="2">
        <f t="shared" si="3"/>
        <v>0.44893349999999993</v>
      </c>
    </row>
    <row r="240" spans="1:10" x14ac:dyDescent="0.35">
      <c r="A240" t="s">
        <v>12</v>
      </c>
      <c r="B240" t="s">
        <v>19</v>
      </c>
      <c r="C240" t="s">
        <v>23</v>
      </c>
      <c r="D240" t="s">
        <v>31</v>
      </c>
      <c r="E240" s="1">
        <v>44377</v>
      </c>
      <c r="F240" s="3">
        <v>1500</v>
      </c>
      <c r="G240" s="3">
        <v>73500</v>
      </c>
      <c r="H240" s="3">
        <v>60.7</v>
      </c>
      <c r="I240" s="3">
        <v>105683.94</v>
      </c>
      <c r="J240" s="2">
        <f t="shared" si="3"/>
        <v>0.43787673469387756</v>
      </c>
    </row>
    <row r="241" spans="1:10" x14ac:dyDescent="0.35">
      <c r="A241" t="s">
        <v>11</v>
      </c>
      <c r="B241" t="s">
        <v>18</v>
      </c>
      <c r="C241" t="s">
        <v>29</v>
      </c>
      <c r="D241" t="s">
        <v>31</v>
      </c>
      <c r="E241" s="1">
        <v>44529</v>
      </c>
      <c r="F241" s="3">
        <v>1500</v>
      </c>
      <c r="G241" s="3">
        <v>66000</v>
      </c>
      <c r="H241" s="3">
        <v>44.12</v>
      </c>
      <c r="I241" s="3">
        <v>99624.56</v>
      </c>
      <c r="J241" s="2">
        <f t="shared" si="3"/>
        <v>0.50946303030303031</v>
      </c>
    </row>
    <row r="242" spans="1:10" x14ac:dyDescent="0.35">
      <c r="A242" t="s">
        <v>13</v>
      </c>
      <c r="B242" t="s">
        <v>19</v>
      </c>
      <c r="C242" t="s">
        <v>23</v>
      </c>
      <c r="D242" t="s">
        <v>31</v>
      </c>
      <c r="E242" s="1">
        <v>44732</v>
      </c>
      <c r="F242" s="3">
        <v>3000</v>
      </c>
      <c r="G242" s="3">
        <v>114000</v>
      </c>
      <c r="H242" s="3">
        <v>53.61</v>
      </c>
      <c r="I242" s="3">
        <v>163758.69</v>
      </c>
      <c r="J242" s="2">
        <f t="shared" si="3"/>
        <v>0.43647973684210528</v>
      </c>
    </row>
    <row r="243" spans="1:10" x14ac:dyDescent="0.35">
      <c r="A243" t="s">
        <v>7</v>
      </c>
      <c r="B243" t="s">
        <v>20</v>
      </c>
      <c r="C243" t="s">
        <v>27</v>
      </c>
      <c r="D243" t="s">
        <v>35</v>
      </c>
      <c r="E243" s="1">
        <v>45038</v>
      </c>
      <c r="F243" s="3">
        <v>3000</v>
      </c>
      <c r="G243" s="3">
        <v>81000</v>
      </c>
      <c r="H243" s="3">
        <v>38.71</v>
      </c>
      <c r="I243" s="3">
        <v>78981.990000000005</v>
      </c>
      <c r="J243" s="2">
        <f t="shared" si="3"/>
        <v>-2.4913703703703639E-2</v>
      </c>
    </row>
    <row r="244" spans="1:10" x14ac:dyDescent="0.35">
      <c r="A244" t="s">
        <v>11</v>
      </c>
      <c r="B244" t="s">
        <v>19</v>
      </c>
      <c r="C244" t="s">
        <v>28</v>
      </c>
      <c r="D244" t="s">
        <v>32</v>
      </c>
      <c r="E244" s="1">
        <v>45281</v>
      </c>
      <c r="F244" s="3">
        <v>1000</v>
      </c>
      <c r="G244" s="3">
        <v>19000</v>
      </c>
      <c r="H244" s="3">
        <v>23.82</v>
      </c>
      <c r="I244" s="3">
        <v>28412.02</v>
      </c>
      <c r="J244" s="2">
        <f t="shared" si="3"/>
        <v>0.49536947368421053</v>
      </c>
    </row>
    <row r="245" spans="1:10" x14ac:dyDescent="0.35">
      <c r="A245" t="s">
        <v>11</v>
      </c>
      <c r="B245" t="s">
        <v>19</v>
      </c>
      <c r="C245" t="s">
        <v>25</v>
      </c>
      <c r="D245" t="s">
        <v>36</v>
      </c>
      <c r="E245" s="1">
        <v>44536</v>
      </c>
      <c r="F245" s="3">
        <v>2000</v>
      </c>
      <c r="G245" s="3">
        <v>88000</v>
      </c>
      <c r="H245" s="3">
        <v>65.09</v>
      </c>
      <c r="I245" s="3">
        <v>104607.22</v>
      </c>
      <c r="J245" s="2">
        <f t="shared" si="3"/>
        <v>0.18871840909090912</v>
      </c>
    </row>
    <row r="246" spans="1:10" x14ac:dyDescent="0.35">
      <c r="A246" t="s">
        <v>13</v>
      </c>
      <c r="B246" t="s">
        <v>18</v>
      </c>
      <c r="C246" t="s">
        <v>24</v>
      </c>
      <c r="D246" t="s">
        <v>31</v>
      </c>
      <c r="E246" s="1">
        <v>44153</v>
      </c>
      <c r="F246" s="3">
        <v>1000</v>
      </c>
      <c r="G246" s="3">
        <v>57000</v>
      </c>
      <c r="H246" s="3">
        <v>41.15</v>
      </c>
      <c r="I246" s="3">
        <v>79796.08</v>
      </c>
      <c r="J246" s="2">
        <f t="shared" si="3"/>
        <v>0.39993122807017545</v>
      </c>
    </row>
    <row r="247" spans="1:10" x14ac:dyDescent="0.35">
      <c r="A247" t="s">
        <v>13</v>
      </c>
      <c r="B247" t="s">
        <v>18</v>
      </c>
      <c r="C247" t="s">
        <v>26</v>
      </c>
      <c r="D247" t="s">
        <v>34</v>
      </c>
      <c r="E247" s="1">
        <v>44732</v>
      </c>
      <c r="F247" s="3">
        <v>2000</v>
      </c>
      <c r="G247" s="3">
        <v>76000</v>
      </c>
      <c r="H247" s="3">
        <v>46.7</v>
      </c>
      <c r="I247" s="3">
        <v>117911.77</v>
      </c>
      <c r="J247" s="2">
        <f t="shared" si="3"/>
        <v>0.55147065789473693</v>
      </c>
    </row>
    <row r="248" spans="1:10" x14ac:dyDescent="0.35">
      <c r="A248" t="s">
        <v>8</v>
      </c>
      <c r="B248" t="s">
        <v>19</v>
      </c>
      <c r="C248" t="s">
        <v>26</v>
      </c>
      <c r="D248" t="s">
        <v>32</v>
      </c>
      <c r="E248" s="1">
        <v>45011</v>
      </c>
      <c r="F248" s="3">
        <v>1000</v>
      </c>
      <c r="G248" s="3">
        <v>28000</v>
      </c>
      <c r="H248" s="3">
        <v>44.8</v>
      </c>
      <c r="I248" s="3">
        <v>37084.61</v>
      </c>
      <c r="J248" s="2">
        <f t="shared" si="3"/>
        <v>0.32445035714285714</v>
      </c>
    </row>
    <row r="249" spans="1:10" x14ac:dyDescent="0.35">
      <c r="A249" t="s">
        <v>6</v>
      </c>
      <c r="B249" t="s">
        <v>18</v>
      </c>
      <c r="C249" t="s">
        <v>23</v>
      </c>
      <c r="D249" t="s">
        <v>32</v>
      </c>
      <c r="E249" s="1">
        <v>45078</v>
      </c>
      <c r="F249" s="3">
        <v>2000</v>
      </c>
      <c r="G249" s="3">
        <v>52000</v>
      </c>
      <c r="H249" s="3">
        <v>35.799999999999997</v>
      </c>
      <c r="I249" s="3">
        <v>63227.99</v>
      </c>
      <c r="J249" s="2">
        <f t="shared" si="3"/>
        <v>0.21592288461538459</v>
      </c>
    </row>
    <row r="250" spans="1:10" x14ac:dyDescent="0.35">
      <c r="A250" t="s">
        <v>11</v>
      </c>
      <c r="B250" t="s">
        <v>17</v>
      </c>
      <c r="C250" t="s">
        <v>25</v>
      </c>
      <c r="D250" t="s">
        <v>34</v>
      </c>
      <c r="E250" s="1">
        <v>44843</v>
      </c>
      <c r="F250" s="3">
        <v>500</v>
      </c>
      <c r="G250" s="3">
        <v>17000</v>
      </c>
      <c r="H250" s="3">
        <v>38.03</v>
      </c>
      <c r="I250" s="3">
        <v>15415.77</v>
      </c>
      <c r="J250" s="2">
        <f t="shared" si="3"/>
        <v>-9.3189999999999981E-2</v>
      </c>
    </row>
    <row r="251" spans="1:10" x14ac:dyDescent="0.35">
      <c r="A251" t="s">
        <v>14</v>
      </c>
      <c r="B251" t="s">
        <v>18</v>
      </c>
      <c r="C251" t="s">
        <v>25</v>
      </c>
      <c r="D251" t="s">
        <v>31</v>
      </c>
      <c r="E251" s="1">
        <v>44691</v>
      </c>
      <c r="F251" s="3">
        <v>3000</v>
      </c>
      <c r="G251" s="3">
        <v>117000</v>
      </c>
      <c r="H251" s="3">
        <v>35.200000000000003</v>
      </c>
      <c r="I251" s="3">
        <v>126864.3</v>
      </c>
      <c r="J251" s="2">
        <f t="shared" si="3"/>
        <v>8.431025641025644E-2</v>
      </c>
    </row>
    <row r="252" spans="1:10" x14ac:dyDescent="0.35">
      <c r="A252" t="s">
        <v>13</v>
      </c>
      <c r="B252" t="s">
        <v>19</v>
      </c>
      <c r="C252" t="s">
        <v>26</v>
      </c>
      <c r="D252" t="s">
        <v>31</v>
      </c>
      <c r="E252" s="1">
        <v>43836</v>
      </c>
      <c r="F252" s="3">
        <v>1000</v>
      </c>
      <c r="G252" s="3">
        <v>67000</v>
      </c>
      <c r="H252" s="3">
        <v>63.1</v>
      </c>
      <c r="I252" s="3">
        <v>61382.51</v>
      </c>
      <c r="J252" s="2">
        <f t="shared" si="3"/>
        <v>-8.3843134328358174E-2</v>
      </c>
    </row>
    <row r="253" spans="1:10" x14ac:dyDescent="0.35">
      <c r="A253" t="s">
        <v>8</v>
      </c>
      <c r="B253" t="s">
        <v>20</v>
      </c>
      <c r="C253" t="s">
        <v>21</v>
      </c>
      <c r="D253" t="s">
        <v>36</v>
      </c>
      <c r="E253" s="1">
        <v>44824</v>
      </c>
      <c r="F253" s="3">
        <v>500</v>
      </c>
      <c r="G253" s="3">
        <v>17500</v>
      </c>
      <c r="H253" s="3">
        <v>66.3</v>
      </c>
      <c r="I253" s="3">
        <v>24462.59</v>
      </c>
      <c r="J253" s="2">
        <f t="shared" si="3"/>
        <v>0.39786228571428572</v>
      </c>
    </row>
    <row r="254" spans="1:10" x14ac:dyDescent="0.35">
      <c r="A254" t="s">
        <v>8</v>
      </c>
      <c r="B254" t="s">
        <v>19</v>
      </c>
      <c r="C254" t="s">
        <v>21</v>
      </c>
      <c r="D254" t="s">
        <v>31</v>
      </c>
      <c r="E254" s="1">
        <v>44784</v>
      </c>
      <c r="F254" s="3">
        <v>500</v>
      </c>
      <c r="G254" s="3">
        <v>18000</v>
      </c>
      <c r="H254" s="3">
        <v>41.65</v>
      </c>
      <c r="I254" s="3">
        <v>18859.14</v>
      </c>
      <c r="J254" s="2">
        <f t="shared" si="3"/>
        <v>4.7729999999999967E-2</v>
      </c>
    </row>
    <row r="255" spans="1:10" x14ac:dyDescent="0.35">
      <c r="A255" t="s">
        <v>15</v>
      </c>
      <c r="B255" t="s">
        <v>18</v>
      </c>
      <c r="C255" t="s">
        <v>30</v>
      </c>
      <c r="D255" t="s">
        <v>31</v>
      </c>
      <c r="E255" s="1">
        <v>43959</v>
      </c>
      <c r="F255" s="3">
        <v>1500</v>
      </c>
      <c r="G255" s="3">
        <v>94500</v>
      </c>
      <c r="H255" s="3">
        <v>59.42</v>
      </c>
      <c r="I255" s="3">
        <v>123420.27</v>
      </c>
      <c r="J255" s="2">
        <f t="shared" si="3"/>
        <v>0.30603460317460324</v>
      </c>
    </row>
    <row r="256" spans="1:10" x14ac:dyDescent="0.35">
      <c r="A256" t="s">
        <v>12</v>
      </c>
      <c r="B256" t="s">
        <v>17</v>
      </c>
      <c r="C256" t="s">
        <v>28</v>
      </c>
      <c r="D256" t="s">
        <v>31</v>
      </c>
      <c r="E256" s="1">
        <v>44995</v>
      </c>
      <c r="F256" s="3">
        <v>1000</v>
      </c>
      <c r="G256" s="3">
        <v>29000</v>
      </c>
      <c r="H256" s="3">
        <v>10.37</v>
      </c>
      <c r="I256" s="3">
        <v>39485.42</v>
      </c>
      <c r="J256" s="2">
        <f t="shared" si="3"/>
        <v>0.36156620689655167</v>
      </c>
    </row>
    <row r="257" spans="1:10" x14ac:dyDescent="0.35">
      <c r="A257" t="s">
        <v>7</v>
      </c>
      <c r="B257" t="s">
        <v>19</v>
      </c>
      <c r="C257" t="s">
        <v>21</v>
      </c>
      <c r="D257" t="s">
        <v>36</v>
      </c>
      <c r="E257" s="1">
        <v>44753</v>
      </c>
      <c r="F257" s="3">
        <v>1500</v>
      </c>
      <c r="G257" s="3">
        <v>55500</v>
      </c>
      <c r="H257" s="3">
        <v>37.58</v>
      </c>
      <c r="I257" s="3">
        <v>72934.240000000005</v>
      </c>
      <c r="J257" s="2">
        <f t="shared" si="3"/>
        <v>0.31413045045045057</v>
      </c>
    </row>
    <row r="258" spans="1:10" x14ac:dyDescent="0.35">
      <c r="A258" t="s">
        <v>8</v>
      </c>
      <c r="B258" t="s">
        <v>16</v>
      </c>
      <c r="C258" t="s">
        <v>22</v>
      </c>
      <c r="D258" t="s">
        <v>31</v>
      </c>
      <c r="E258" s="1">
        <v>44969</v>
      </c>
      <c r="F258" s="3">
        <v>2000</v>
      </c>
      <c r="G258" s="3">
        <v>60000</v>
      </c>
      <c r="H258" s="3">
        <v>13.69</v>
      </c>
      <c r="I258" s="3">
        <v>56545.08</v>
      </c>
      <c r="J258" s="2">
        <f t="shared" si="3"/>
        <v>-5.7581999999999973E-2</v>
      </c>
    </row>
    <row r="259" spans="1:10" x14ac:dyDescent="0.35">
      <c r="A259" t="s">
        <v>9</v>
      </c>
      <c r="B259" t="s">
        <v>17</v>
      </c>
      <c r="C259" t="s">
        <v>24</v>
      </c>
      <c r="D259" t="s">
        <v>32</v>
      </c>
      <c r="E259" s="1">
        <v>44382</v>
      </c>
      <c r="F259" s="3">
        <v>2000</v>
      </c>
      <c r="G259" s="3">
        <v>98000</v>
      </c>
      <c r="H259" s="3">
        <v>65.91</v>
      </c>
      <c r="I259" s="3">
        <v>100587.11</v>
      </c>
      <c r="J259" s="2">
        <f t="shared" ref="J259:J322" si="4">(I259-G259)/G259</f>
        <v>2.6399081632653067E-2</v>
      </c>
    </row>
    <row r="260" spans="1:10" x14ac:dyDescent="0.35">
      <c r="A260" t="s">
        <v>7</v>
      </c>
      <c r="B260" t="s">
        <v>17</v>
      </c>
      <c r="C260" t="s">
        <v>21</v>
      </c>
      <c r="D260" t="s">
        <v>32</v>
      </c>
      <c r="E260" s="1">
        <v>44683</v>
      </c>
      <c r="F260" s="3">
        <v>1500</v>
      </c>
      <c r="G260" s="3">
        <v>58500</v>
      </c>
      <c r="H260" s="3">
        <v>38.659999999999997</v>
      </c>
      <c r="I260" s="3">
        <v>59126</v>
      </c>
      <c r="J260" s="2">
        <f t="shared" si="4"/>
        <v>1.0700854700854702E-2</v>
      </c>
    </row>
    <row r="261" spans="1:10" x14ac:dyDescent="0.35">
      <c r="A261" t="s">
        <v>6</v>
      </c>
      <c r="B261" t="s">
        <v>17</v>
      </c>
      <c r="C261" t="s">
        <v>25</v>
      </c>
      <c r="D261" t="s">
        <v>32</v>
      </c>
      <c r="E261" s="1">
        <v>44960</v>
      </c>
      <c r="F261" s="3">
        <v>500</v>
      </c>
      <c r="G261" s="3">
        <v>15000</v>
      </c>
      <c r="H261" s="3">
        <v>58.9</v>
      </c>
      <c r="I261" s="3">
        <v>13035.51</v>
      </c>
      <c r="J261" s="2">
        <f t="shared" si="4"/>
        <v>-0.130966</v>
      </c>
    </row>
    <row r="262" spans="1:10" x14ac:dyDescent="0.35">
      <c r="A262" t="s">
        <v>13</v>
      </c>
      <c r="B262" t="s">
        <v>16</v>
      </c>
      <c r="C262" t="s">
        <v>21</v>
      </c>
      <c r="D262" t="s">
        <v>34</v>
      </c>
      <c r="E262" s="1">
        <v>44906</v>
      </c>
      <c r="F262" s="3">
        <v>2000</v>
      </c>
      <c r="G262" s="3">
        <v>64000</v>
      </c>
      <c r="H262" s="3">
        <v>22.16</v>
      </c>
      <c r="I262" s="3">
        <v>57229.99</v>
      </c>
      <c r="J262" s="2">
        <f t="shared" si="4"/>
        <v>-0.10578140625000003</v>
      </c>
    </row>
    <row r="263" spans="1:10" x14ac:dyDescent="0.35">
      <c r="A263" t="s">
        <v>10</v>
      </c>
      <c r="B263" t="s">
        <v>16</v>
      </c>
      <c r="C263" t="s">
        <v>30</v>
      </c>
      <c r="D263" t="s">
        <v>36</v>
      </c>
      <c r="E263" s="1">
        <v>45109</v>
      </c>
      <c r="F263" s="3">
        <v>2000</v>
      </c>
      <c r="G263" s="3">
        <v>50000</v>
      </c>
      <c r="H263" s="3">
        <v>45.25</v>
      </c>
      <c r="I263" s="3">
        <v>49734.559999999998</v>
      </c>
      <c r="J263" s="2">
        <f t="shared" si="4"/>
        <v>-5.3088000000000466E-3</v>
      </c>
    </row>
    <row r="264" spans="1:10" x14ac:dyDescent="0.35">
      <c r="A264" t="s">
        <v>11</v>
      </c>
      <c r="B264" t="s">
        <v>19</v>
      </c>
      <c r="C264" t="s">
        <v>26</v>
      </c>
      <c r="D264" t="s">
        <v>36</v>
      </c>
      <c r="E264" s="1">
        <v>44759</v>
      </c>
      <c r="F264" s="3">
        <v>1500</v>
      </c>
      <c r="G264" s="3">
        <v>55500</v>
      </c>
      <c r="H264" s="3">
        <v>42.95</v>
      </c>
      <c r="I264" s="3">
        <v>73015.240000000005</v>
      </c>
      <c r="J264" s="2">
        <f t="shared" si="4"/>
        <v>0.31558990990990998</v>
      </c>
    </row>
    <row r="265" spans="1:10" x14ac:dyDescent="0.35">
      <c r="A265" t="s">
        <v>13</v>
      </c>
      <c r="B265" t="s">
        <v>19</v>
      </c>
      <c r="C265" t="s">
        <v>22</v>
      </c>
      <c r="D265" t="s">
        <v>36</v>
      </c>
      <c r="E265" s="1">
        <v>44759</v>
      </c>
      <c r="F265" s="3">
        <v>1500</v>
      </c>
      <c r="G265" s="3">
        <v>55500</v>
      </c>
      <c r="H265" s="3">
        <v>59.9</v>
      </c>
      <c r="I265" s="3">
        <v>47171.31</v>
      </c>
      <c r="J265" s="2">
        <f t="shared" si="4"/>
        <v>-0.15006648648648652</v>
      </c>
    </row>
    <row r="266" spans="1:10" x14ac:dyDescent="0.35">
      <c r="A266" t="s">
        <v>10</v>
      </c>
      <c r="B266" t="s">
        <v>16</v>
      </c>
      <c r="C266" t="s">
        <v>21</v>
      </c>
      <c r="D266" t="s">
        <v>35</v>
      </c>
      <c r="E266" s="1">
        <v>44247</v>
      </c>
      <c r="F266" s="3">
        <v>500</v>
      </c>
      <c r="G266" s="3">
        <v>27000</v>
      </c>
      <c r="H266" s="3">
        <v>41.51</v>
      </c>
      <c r="I266" s="3">
        <v>36952.04</v>
      </c>
      <c r="J266" s="2">
        <f t="shared" si="4"/>
        <v>0.36859407407407413</v>
      </c>
    </row>
    <row r="267" spans="1:10" x14ac:dyDescent="0.35">
      <c r="A267" t="s">
        <v>15</v>
      </c>
      <c r="B267" t="s">
        <v>20</v>
      </c>
      <c r="C267" t="s">
        <v>29</v>
      </c>
      <c r="D267" t="s">
        <v>33</v>
      </c>
      <c r="E267" s="1">
        <v>44211</v>
      </c>
      <c r="F267" s="3">
        <v>500</v>
      </c>
      <c r="G267" s="3">
        <v>27500</v>
      </c>
      <c r="H267" s="3">
        <v>10.54</v>
      </c>
      <c r="I267" s="3">
        <v>22538.23</v>
      </c>
      <c r="J267" s="2">
        <f t="shared" si="4"/>
        <v>-0.18042800000000001</v>
      </c>
    </row>
    <row r="268" spans="1:10" x14ac:dyDescent="0.35">
      <c r="A268" t="s">
        <v>7</v>
      </c>
      <c r="B268" t="s">
        <v>17</v>
      </c>
      <c r="C268" t="s">
        <v>21</v>
      </c>
      <c r="D268" t="s">
        <v>32</v>
      </c>
      <c r="E268" s="1">
        <v>43849</v>
      </c>
      <c r="F268" s="3">
        <v>3000</v>
      </c>
      <c r="G268" s="3">
        <v>201000</v>
      </c>
      <c r="H268" s="3">
        <v>11.05</v>
      </c>
      <c r="I268" s="3">
        <v>261328.95</v>
      </c>
      <c r="J268" s="2">
        <f t="shared" si="4"/>
        <v>0.30014402985074634</v>
      </c>
    </row>
    <row r="269" spans="1:10" x14ac:dyDescent="0.35">
      <c r="A269" t="s">
        <v>7</v>
      </c>
      <c r="B269" t="s">
        <v>18</v>
      </c>
      <c r="C269" t="s">
        <v>23</v>
      </c>
      <c r="D269" t="s">
        <v>35</v>
      </c>
      <c r="E269" s="1">
        <v>44580</v>
      </c>
      <c r="F269" s="3">
        <v>3000</v>
      </c>
      <c r="G269" s="3">
        <v>129000</v>
      </c>
      <c r="H269" s="3">
        <v>52.66</v>
      </c>
      <c r="I269" s="3">
        <v>189072.63</v>
      </c>
      <c r="J269" s="2">
        <f t="shared" si="4"/>
        <v>0.46567930232558141</v>
      </c>
    </row>
    <row r="270" spans="1:10" x14ac:dyDescent="0.35">
      <c r="A270" t="s">
        <v>9</v>
      </c>
      <c r="B270" t="s">
        <v>19</v>
      </c>
      <c r="C270" t="s">
        <v>22</v>
      </c>
      <c r="D270" t="s">
        <v>35</v>
      </c>
      <c r="E270" s="1">
        <v>44166</v>
      </c>
      <c r="F270" s="3">
        <v>3000</v>
      </c>
      <c r="G270" s="3">
        <v>168000</v>
      </c>
      <c r="H270" s="3">
        <v>50.11</v>
      </c>
      <c r="I270" s="3">
        <v>232995.18</v>
      </c>
      <c r="J270" s="2">
        <f t="shared" si="4"/>
        <v>0.38687607142857139</v>
      </c>
    </row>
    <row r="271" spans="1:10" x14ac:dyDescent="0.35">
      <c r="A271" t="s">
        <v>11</v>
      </c>
      <c r="B271" t="s">
        <v>16</v>
      </c>
      <c r="C271" t="s">
        <v>27</v>
      </c>
      <c r="D271" t="s">
        <v>34</v>
      </c>
      <c r="E271" s="1">
        <v>44714</v>
      </c>
      <c r="F271" s="3">
        <v>3000</v>
      </c>
      <c r="G271" s="3">
        <v>114000</v>
      </c>
      <c r="H271" s="3">
        <v>67.930000000000007</v>
      </c>
      <c r="I271" s="3">
        <v>175756.32</v>
      </c>
      <c r="J271" s="2">
        <f t="shared" si="4"/>
        <v>0.541722105263158</v>
      </c>
    </row>
    <row r="272" spans="1:10" x14ac:dyDescent="0.35">
      <c r="A272" t="s">
        <v>13</v>
      </c>
      <c r="B272" t="s">
        <v>17</v>
      </c>
      <c r="C272" t="s">
        <v>26</v>
      </c>
      <c r="D272" t="s">
        <v>35</v>
      </c>
      <c r="E272" s="1">
        <v>44278</v>
      </c>
      <c r="F272" s="3">
        <v>3000</v>
      </c>
      <c r="G272" s="3">
        <v>159000</v>
      </c>
      <c r="H272" s="3">
        <v>33.25</v>
      </c>
      <c r="I272" s="3">
        <v>143567.99</v>
      </c>
      <c r="J272" s="2">
        <f t="shared" si="4"/>
        <v>-9.7056666666666722E-2</v>
      </c>
    </row>
    <row r="273" spans="1:10" x14ac:dyDescent="0.35">
      <c r="A273" t="s">
        <v>8</v>
      </c>
      <c r="B273" t="s">
        <v>16</v>
      </c>
      <c r="C273" t="s">
        <v>30</v>
      </c>
      <c r="D273" t="s">
        <v>35</v>
      </c>
      <c r="E273" s="1">
        <v>45140</v>
      </c>
      <c r="F273" s="3">
        <v>1500</v>
      </c>
      <c r="G273" s="3">
        <v>36000</v>
      </c>
      <c r="H273" s="3">
        <v>36</v>
      </c>
      <c r="I273" s="3">
        <v>56670.14</v>
      </c>
      <c r="J273" s="2">
        <f t="shared" si="4"/>
        <v>0.57417055555555552</v>
      </c>
    </row>
    <row r="274" spans="1:10" x14ac:dyDescent="0.35">
      <c r="A274" t="s">
        <v>13</v>
      </c>
      <c r="B274" t="s">
        <v>20</v>
      </c>
      <c r="C274" t="s">
        <v>26</v>
      </c>
      <c r="D274" t="s">
        <v>36</v>
      </c>
      <c r="E274" s="1">
        <v>44977</v>
      </c>
      <c r="F274" s="3">
        <v>3000</v>
      </c>
      <c r="G274" s="3">
        <v>87000</v>
      </c>
      <c r="H274" s="3">
        <v>48.86</v>
      </c>
      <c r="I274" s="3">
        <v>74084.009999999995</v>
      </c>
      <c r="J274" s="2">
        <f t="shared" si="4"/>
        <v>-0.14845965517241386</v>
      </c>
    </row>
    <row r="275" spans="1:10" x14ac:dyDescent="0.35">
      <c r="A275" t="s">
        <v>14</v>
      </c>
      <c r="B275" t="s">
        <v>16</v>
      </c>
      <c r="C275" t="s">
        <v>21</v>
      </c>
      <c r="D275" t="s">
        <v>34</v>
      </c>
      <c r="E275" s="1">
        <v>44298</v>
      </c>
      <c r="F275" s="3">
        <v>500</v>
      </c>
      <c r="G275" s="3">
        <v>26000</v>
      </c>
      <c r="H275" s="3">
        <v>64.540000000000006</v>
      </c>
      <c r="I275" s="3">
        <v>32195.73</v>
      </c>
      <c r="J275" s="2">
        <f t="shared" si="4"/>
        <v>0.23829730769230767</v>
      </c>
    </row>
    <row r="276" spans="1:10" x14ac:dyDescent="0.35">
      <c r="A276" t="s">
        <v>10</v>
      </c>
      <c r="B276" t="s">
        <v>18</v>
      </c>
      <c r="C276" t="s">
        <v>23</v>
      </c>
      <c r="D276" t="s">
        <v>31</v>
      </c>
      <c r="E276" s="1">
        <v>44197</v>
      </c>
      <c r="F276" s="3">
        <v>1500</v>
      </c>
      <c r="G276" s="3">
        <v>82500</v>
      </c>
      <c r="H276" s="3">
        <v>35.57</v>
      </c>
      <c r="I276" s="3">
        <v>111932.45</v>
      </c>
      <c r="J276" s="2">
        <f t="shared" si="4"/>
        <v>0.35675696969696968</v>
      </c>
    </row>
    <row r="277" spans="1:10" x14ac:dyDescent="0.35">
      <c r="A277" t="s">
        <v>15</v>
      </c>
      <c r="B277" t="s">
        <v>16</v>
      </c>
      <c r="C277" t="s">
        <v>27</v>
      </c>
      <c r="D277" t="s">
        <v>34</v>
      </c>
      <c r="E277" s="1">
        <v>45190</v>
      </c>
      <c r="F277" s="3">
        <v>3000</v>
      </c>
      <c r="G277" s="3">
        <v>66000</v>
      </c>
      <c r="H277" s="3">
        <v>10.93</v>
      </c>
      <c r="I277" s="3">
        <v>105191.75</v>
      </c>
      <c r="J277" s="2">
        <f t="shared" si="4"/>
        <v>0.59381439393939395</v>
      </c>
    </row>
    <row r="278" spans="1:10" x14ac:dyDescent="0.35">
      <c r="A278" t="s">
        <v>13</v>
      </c>
      <c r="B278" t="s">
        <v>16</v>
      </c>
      <c r="C278" t="s">
        <v>22</v>
      </c>
      <c r="D278" t="s">
        <v>31</v>
      </c>
      <c r="E278" s="1">
        <v>44696</v>
      </c>
      <c r="F278" s="3">
        <v>500</v>
      </c>
      <c r="G278" s="3">
        <v>19500</v>
      </c>
      <c r="H278" s="3">
        <v>48.76</v>
      </c>
      <c r="I278" s="3">
        <v>25789.94</v>
      </c>
      <c r="J278" s="2">
        <f t="shared" si="4"/>
        <v>0.32256102564102557</v>
      </c>
    </row>
    <row r="279" spans="1:10" x14ac:dyDescent="0.35">
      <c r="A279" t="s">
        <v>15</v>
      </c>
      <c r="B279" t="s">
        <v>17</v>
      </c>
      <c r="C279" t="s">
        <v>23</v>
      </c>
      <c r="D279" t="s">
        <v>31</v>
      </c>
      <c r="E279" s="1">
        <v>44562</v>
      </c>
      <c r="F279" s="3">
        <v>1500</v>
      </c>
      <c r="G279" s="3">
        <v>64500</v>
      </c>
      <c r="H279" s="3">
        <v>44.26</v>
      </c>
      <c r="I279" s="3">
        <v>73533.490000000005</v>
      </c>
      <c r="J279" s="2">
        <f t="shared" si="4"/>
        <v>0.14005410852713188</v>
      </c>
    </row>
    <row r="280" spans="1:10" x14ac:dyDescent="0.35">
      <c r="A280" t="s">
        <v>8</v>
      </c>
      <c r="B280" t="s">
        <v>18</v>
      </c>
      <c r="C280" t="s">
        <v>26</v>
      </c>
      <c r="D280" t="s">
        <v>31</v>
      </c>
      <c r="E280" s="1">
        <v>45207</v>
      </c>
      <c r="F280" s="3">
        <v>3000</v>
      </c>
      <c r="G280" s="3">
        <v>66000</v>
      </c>
      <c r="H280" s="3">
        <v>41.14</v>
      </c>
      <c r="I280" s="3">
        <v>71357.13</v>
      </c>
      <c r="J280" s="2">
        <f t="shared" si="4"/>
        <v>8.1168636363636429E-2</v>
      </c>
    </row>
    <row r="281" spans="1:10" x14ac:dyDescent="0.35">
      <c r="A281" t="s">
        <v>15</v>
      </c>
      <c r="B281" t="s">
        <v>16</v>
      </c>
      <c r="C281" t="s">
        <v>27</v>
      </c>
      <c r="D281" t="s">
        <v>32</v>
      </c>
      <c r="E281" s="1">
        <v>44940</v>
      </c>
      <c r="F281" s="3">
        <v>3000</v>
      </c>
      <c r="G281" s="3">
        <v>93000</v>
      </c>
      <c r="H281" s="3">
        <v>28.08</v>
      </c>
      <c r="I281" s="3">
        <v>113154.16</v>
      </c>
      <c r="J281" s="2">
        <f t="shared" si="4"/>
        <v>0.21671139784946239</v>
      </c>
    </row>
    <row r="282" spans="1:10" x14ac:dyDescent="0.35">
      <c r="A282" t="s">
        <v>8</v>
      </c>
      <c r="B282" t="s">
        <v>17</v>
      </c>
      <c r="C282" t="s">
        <v>29</v>
      </c>
      <c r="D282" t="s">
        <v>31</v>
      </c>
      <c r="E282" s="1">
        <v>44757</v>
      </c>
      <c r="F282" s="3">
        <v>1000</v>
      </c>
      <c r="G282" s="3">
        <v>37000</v>
      </c>
      <c r="H282" s="3">
        <v>54.72</v>
      </c>
      <c r="I282" s="3">
        <v>34772.35</v>
      </c>
      <c r="J282" s="2">
        <f t="shared" si="4"/>
        <v>-6.0206756756756796E-2</v>
      </c>
    </row>
    <row r="283" spans="1:10" x14ac:dyDescent="0.35">
      <c r="A283" t="s">
        <v>10</v>
      </c>
      <c r="B283" t="s">
        <v>18</v>
      </c>
      <c r="C283" t="s">
        <v>23</v>
      </c>
      <c r="D283" t="s">
        <v>33</v>
      </c>
      <c r="E283" s="1">
        <v>45285</v>
      </c>
      <c r="F283" s="3">
        <v>3000</v>
      </c>
      <c r="G283" s="3">
        <v>57000</v>
      </c>
      <c r="H283" s="3">
        <v>36.68</v>
      </c>
      <c r="I283" s="3">
        <v>75688.009999999995</v>
      </c>
      <c r="J283" s="2">
        <f t="shared" si="4"/>
        <v>0.32785982456140339</v>
      </c>
    </row>
    <row r="284" spans="1:10" x14ac:dyDescent="0.35">
      <c r="A284" t="s">
        <v>7</v>
      </c>
      <c r="B284" t="s">
        <v>20</v>
      </c>
      <c r="C284" t="s">
        <v>22</v>
      </c>
      <c r="D284" t="s">
        <v>34</v>
      </c>
      <c r="E284" s="1">
        <v>45254</v>
      </c>
      <c r="F284" s="3">
        <v>2000</v>
      </c>
      <c r="G284" s="3">
        <v>40000</v>
      </c>
      <c r="H284" s="3">
        <v>20.05</v>
      </c>
      <c r="I284" s="3">
        <v>40629.69</v>
      </c>
      <c r="J284" s="2">
        <f t="shared" si="4"/>
        <v>1.5742250000000058E-2</v>
      </c>
    </row>
    <row r="285" spans="1:10" x14ac:dyDescent="0.35">
      <c r="A285" t="s">
        <v>6</v>
      </c>
      <c r="B285" t="s">
        <v>20</v>
      </c>
      <c r="C285" t="s">
        <v>28</v>
      </c>
      <c r="D285" t="s">
        <v>34</v>
      </c>
      <c r="E285" s="1">
        <v>44317</v>
      </c>
      <c r="F285" s="3">
        <v>1500</v>
      </c>
      <c r="G285" s="3">
        <v>76500</v>
      </c>
      <c r="H285" s="3">
        <v>47.81</v>
      </c>
      <c r="I285" s="3">
        <v>113674.97</v>
      </c>
      <c r="J285" s="2">
        <f t="shared" si="4"/>
        <v>0.48594732026143794</v>
      </c>
    </row>
    <row r="286" spans="1:10" x14ac:dyDescent="0.35">
      <c r="A286" t="s">
        <v>6</v>
      </c>
      <c r="B286" t="s">
        <v>19</v>
      </c>
      <c r="C286" t="s">
        <v>28</v>
      </c>
      <c r="D286" t="s">
        <v>36</v>
      </c>
      <c r="E286" s="1">
        <v>44221</v>
      </c>
      <c r="F286" s="3">
        <v>2000</v>
      </c>
      <c r="G286" s="3">
        <v>110000</v>
      </c>
      <c r="H286" s="3">
        <v>43.8</v>
      </c>
      <c r="I286" s="3">
        <v>160213.72</v>
      </c>
      <c r="J286" s="2">
        <f t="shared" si="4"/>
        <v>0.45648836363636364</v>
      </c>
    </row>
    <row r="287" spans="1:10" x14ac:dyDescent="0.35">
      <c r="A287" t="s">
        <v>11</v>
      </c>
      <c r="B287" t="s">
        <v>18</v>
      </c>
      <c r="C287" t="s">
        <v>22</v>
      </c>
      <c r="D287" t="s">
        <v>36</v>
      </c>
      <c r="E287" s="1">
        <v>45229</v>
      </c>
      <c r="F287" s="3">
        <v>3000</v>
      </c>
      <c r="G287" s="3">
        <v>63000</v>
      </c>
      <c r="H287" s="3">
        <v>32.65</v>
      </c>
      <c r="I287" s="3">
        <v>87394.01</v>
      </c>
      <c r="J287" s="2">
        <f t="shared" si="4"/>
        <v>0.38720650793650785</v>
      </c>
    </row>
    <row r="288" spans="1:10" x14ac:dyDescent="0.35">
      <c r="A288" t="s">
        <v>13</v>
      </c>
      <c r="B288" t="s">
        <v>18</v>
      </c>
      <c r="C288" t="s">
        <v>23</v>
      </c>
      <c r="D288" t="s">
        <v>33</v>
      </c>
      <c r="E288" s="1">
        <v>44012</v>
      </c>
      <c r="F288" s="3">
        <v>3000</v>
      </c>
      <c r="G288" s="3">
        <v>186000</v>
      </c>
      <c r="H288" s="3">
        <v>30.72</v>
      </c>
      <c r="I288" s="3">
        <v>266192.73</v>
      </c>
      <c r="J288" s="2">
        <f t="shared" si="4"/>
        <v>0.43114370967741927</v>
      </c>
    </row>
    <row r="289" spans="1:10" x14ac:dyDescent="0.35">
      <c r="A289" t="s">
        <v>11</v>
      </c>
      <c r="B289" t="s">
        <v>18</v>
      </c>
      <c r="C289" t="s">
        <v>23</v>
      </c>
      <c r="D289" t="s">
        <v>32</v>
      </c>
      <c r="E289" s="1">
        <v>43914</v>
      </c>
      <c r="F289" s="3">
        <v>1000</v>
      </c>
      <c r="G289" s="3">
        <v>65000</v>
      </c>
      <c r="H289" s="3">
        <v>68.44</v>
      </c>
      <c r="I289" s="3">
        <v>100905.05</v>
      </c>
      <c r="J289" s="2">
        <f t="shared" si="4"/>
        <v>0.55238538461538467</v>
      </c>
    </row>
    <row r="290" spans="1:10" x14ac:dyDescent="0.35">
      <c r="A290" t="s">
        <v>9</v>
      </c>
      <c r="B290" t="s">
        <v>19</v>
      </c>
      <c r="C290" t="s">
        <v>28</v>
      </c>
      <c r="D290" t="s">
        <v>35</v>
      </c>
      <c r="E290" s="1">
        <v>44234</v>
      </c>
      <c r="F290" s="3">
        <v>500</v>
      </c>
      <c r="G290" s="3">
        <v>27000</v>
      </c>
      <c r="H290" s="3">
        <v>57.53</v>
      </c>
      <c r="I290" s="3">
        <v>22920.44</v>
      </c>
      <c r="J290" s="2">
        <f t="shared" si="4"/>
        <v>-0.15109481481481488</v>
      </c>
    </row>
    <row r="291" spans="1:10" x14ac:dyDescent="0.35">
      <c r="A291" t="s">
        <v>13</v>
      </c>
      <c r="B291" t="s">
        <v>18</v>
      </c>
      <c r="C291" t="s">
        <v>30</v>
      </c>
      <c r="D291" t="s">
        <v>33</v>
      </c>
      <c r="E291" s="1">
        <v>44085</v>
      </c>
      <c r="F291" s="3">
        <v>500</v>
      </c>
      <c r="G291" s="3">
        <v>29500</v>
      </c>
      <c r="H291" s="3">
        <v>57.69</v>
      </c>
      <c r="I291" s="3">
        <v>29861.71</v>
      </c>
      <c r="J291" s="2">
        <f t="shared" si="4"/>
        <v>1.2261355932203359E-2</v>
      </c>
    </row>
    <row r="292" spans="1:10" x14ac:dyDescent="0.35">
      <c r="A292" t="s">
        <v>11</v>
      </c>
      <c r="B292" t="s">
        <v>17</v>
      </c>
      <c r="C292" t="s">
        <v>23</v>
      </c>
      <c r="D292" t="s">
        <v>32</v>
      </c>
      <c r="E292" s="1">
        <v>43947</v>
      </c>
      <c r="F292" s="3">
        <v>1000</v>
      </c>
      <c r="G292" s="3">
        <v>64000</v>
      </c>
      <c r="H292" s="3">
        <v>37.200000000000003</v>
      </c>
      <c r="I292" s="3">
        <v>93579.14</v>
      </c>
      <c r="J292" s="2">
        <f t="shared" si="4"/>
        <v>0.46217406249999998</v>
      </c>
    </row>
    <row r="293" spans="1:10" x14ac:dyDescent="0.35">
      <c r="A293" t="s">
        <v>13</v>
      </c>
      <c r="B293" t="s">
        <v>20</v>
      </c>
      <c r="C293" t="s">
        <v>30</v>
      </c>
      <c r="D293" t="s">
        <v>33</v>
      </c>
      <c r="E293" s="1">
        <v>44473</v>
      </c>
      <c r="F293" s="3">
        <v>1000</v>
      </c>
      <c r="G293" s="3">
        <v>46000</v>
      </c>
      <c r="H293" s="3">
        <v>40.590000000000003</v>
      </c>
      <c r="I293" s="3">
        <v>39303.25</v>
      </c>
      <c r="J293" s="2">
        <f t="shared" si="4"/>
        <v>-0.14558152173913044</v>
      </c>
    </row>
    <row r="294" spans="1:10" x14ac:dyDescent="0.35">
      <c r="A294" t="s">
        <v>10</v>
      </c>
      <c r="B294" t="s">
        <v>20</v>
      </c>
      <c r="C294" t="s">
        <v>26</v>
      </c>
      <c r="D294" t="s">
        <v>36</v>
      </c>
      <c r="E294" s="1">
        <v>43841</v>
      </c>
      <c r="F294" s="3">
        <v>2000</v>
      </c>
      <c r="G294" s="3">
        <v>134000</v>
      </c>
      <c r="H294" s="3">
        <v>56.57</v>
      </c>
      <c r="I294" s="3">
        <v>180339.5</v>
      </c>
      <c r="J294" s="2">
        <f t="shared" si="4"/>
        <v>0.34581716417910446</v>
      </c>
    </row>
    <row r="295" spans="1:10" x14ac:dyDescent="0.35">
      <c r="A295" t="s">
        <v>12</v>
      </c>
      <c r="B295" t="s">
        <v>17</v>
      </c>
      <c r="C295" t="s">
        <v>27</v>
      </c>
      <c r="D295" t="s">
        <v>34</v>
      </c>
      <c r="E295" s="1">
        <v>44130</v>
      </c>
      <c r="F295" s="3">
        <v>1000</v>
      </c>
      <c r="G295" s="3">
        <v>58000</v>
      </c>
      <c r="H295" s="3">
        <v>45.74</v>
      </c>
      <c r="I295" s="3">
        <v>56327.87</v>
      </c>
      <c r="J295" s="2">
        <f t="shared" si="4"/>
        <v>-2.8829827586206853E-2</v>
      </c>
    </row>
    <row r="296" spans="1:10" x14ac:dyDescent="0.35">
      <c r="A296" t="s">
        <v>10</v>
      </c>
      <c r="B296" t="s">
        <v>19</v>
      </c>
      <c r="C296" t="s">
        <v>22</v>
      </c>
      <c r="D296" t="s">
        <v>35</v>
      </c>
      <c r="E296" s="1">
        <v>45048</v>
      </c>
      <c r="F296" s="3">
        <v>500</v>
      </c>
      <c r="G296" s="3">
        <v>13500</v>
      </c>
      <c r="H296" s="3">
        <v>39.729999999999997</v>
      </c>
      <c r="I296" s="3">
        <v>20657.62</v>
      </c>
      <c r="J296" s="2">
        <f t="shared" si="4"/>
        <v>0.53019407407407404</v>
      </c>
    </row>
    <row r="297" spans="1:10" x14ac:dyDescent="0.35">
      <c r="A297" t="s">
        <v>15</v>
      </c>
      <c r="B297" t="s">
        <v>17</v>
      </c>
      <c r="C297" t="s">
        <v>29</v>
      </c>
      <c r="D297" t="s">
        <v>31</v>
      </c>
      <c r="E297" s="1">
        <v>45063</v>
      </c>
      <c r="F297" s="3">
        <v>500</v>
      </c>
      <c r="G297" s="3">
        <v>13500</v>
      </c>
      <c r="H297" s="3">
        <v>11.59</v>
      </c>
      <c r="I297" s="3">
        <v>13789.89</v>
      </c>
      <c r="J297" s="2">
        <f t="shared" si="4"/>
        <v>2.1473333333333289E-2</v>
      </c>
    </row>
    <row r="298" spans="1:10" x14ac:dyDescent="0.35">
      <c r="A298" t="s">
        <v>7</v>
      </c>
      <c r="B298" t="s">
        <v>16</v>
      </c>
      <c r="C298" t="s">
        <v>25</v>
      </c>
      <c r="D298" t="s">
        <v>35</v>
      </c>
      <c r="E298" s="1">
        <v>45108</v>
      </c>
      <c r="F298" s="3">
        <v>3000</v>
      </c>
      <c r="G298" s="3">
        <v>75000</v>
      </c>
      <c r="H298" s="3">
        <v>62.05</v>
      </c>
      <c r="I298" s="3">
        <v>84552.22</v>
      </c>
      <c r="J298" s="2">
        <f t="shared" si="4"/>
        <v>0.12736293333333334</v>
      </c>
    </row>
    <row r="299" spans="1:10" x14ac:dyDescent="0.35">
      <c r="A299" t="s">
        <v>14</v>
      </c>
      <c r="B299" t="s">
        <v>16</v>
      </c>
      <c r="C299" t="s">
        <v>22</v>
      </c>
      <c r="D299" t="s">
        <v>32</v>
      </c>
      <c r="E299" s="1">
        <v>45221</v>
      </c>
      <c r="F299" s="3">
        <v>3000</v>
      </c>
      <c r="G299" s="3">
        <v>63000</v>
      </c>
      <c r="H299" s="3">
        <v>54.96</v>
      </c>
      <c r="I299" s="3">
        <v>98714.14</v>
      </c>
      <c r="J299" s="2">
        <f t="shared" si="4"/>
        <v>0.56689111111111112</v>
      </c>
    </row>
    <row r="300" spans="1:10" x14ac:dyDescent="0.35">
      <c r="A300" t="s">
        <v>6</v>
      </c>
      <c r="B300" t="s">
        <v>16</v>
      </c>
      <c r="C300" t="s">
        <v>29</v>
      </c>
      <c r="D300" t="s">
        <v>35</v>
      </c>
      <c r="E300" s="1">
        <v>44142</v>
      </c>
      <c r="F300" s="3">
        <v>3000</v>
      </c>
      <c r="G300" s="3">
        <v>171000</v>
      </c>
      <c r="H300" s="3">
        <v>62.92</v>
      </c>
      <c r="I300" s="3">
        <v>193928.92</v>
      </c>
      <c r="J300" s="2">
        <f t="shared" si="4"/>
        <v>0.13408725146198838</v>
      </c>
    </row>
    <row r="301" spans="1:10" x14ac:dyDescent="0.35">
      <c r="A301" t="s">
        <v>11</v>
      </c>
      <c r="B301" t="s">
        <v>19</v>
      </c>
      <c r="C301" t="s">
        <v>24</v>
      </c>
      <c r="D301" t="s">
        <v>36</v>
      </c>
      <c r="E301" s="1">
        <v>44022</v>
      </c>
      <c r="F301" s="3">
        <v>2000</v>
      </c>
      <c r="G301" s="3">
        <v>122000</v>
      </c>
      <c r="H301" s="3">
        <v>42.56</v>
      </c>
      <c r="I301" s="3">
        <v>176182.3</v>
      </c>
      <c r="J301" s="2">
        <f t="shared" si="4"/>
        <v>0.44411721311475399</v>
      </c>
    </row>
    <row r="302" spans="1:10" x14ac:dyDescent="0.35">
      <c r="A302" t="s">
        <v>9</v>
      </c>
      <c r="B302" t="s">
        <v>16</v>
      </c>
      <c r="C302" t="s">
        <v>25</v>
      </c>
      <c r="D302" t="s">
        <v>32</v>
      </c>
      <c r="E302" s="1">
        <v>44733</v>
      </c>
      <c r="F302" s="3">
        <v>1500</v>
      </c>
      <c r="G302" s="3">
        <v>57000</v>
      </c>
      <c r="H302" s="3">
        <v>23.23</v>
      </c>
      <c r="I302" s="3">
        <v>78597.850000000006</v>
      </c>
      <c r="J302" s="2">
        <f t="shared" si="4"/>
        <v>0.37890964912280711</v>
      </c>
    </row>
    <row r="303" spans="1:10" x14ac:dyDescent="0.35">
      <c r="A303" t="s">
        <v>13</v>
      </c>
      <c r="B303" t="s">
        <v>18</v>
      </c>
      <c r="C303" t="s">
        <v>27</v>
      </c>
      <c r="D303" t="s">
        <v>33</v>
      </c>
      <c r="E303" s="1">
        <v>43935</v>
      </c>
      <c r="F303" s="3">
        <v>2000</v>
      </c>
      <c r="G303" s="3">
        <v>128000</v>
      </c>
      <c r="H303" s="3">
        <v>44.75</v>
      </c>
      <c r="I303" s="3">
        <v>170275.34</v>
      </c>
      <c r="J303" s="2">
        <f t="shared" si="4"/>
        <v>0.33027609375</v>
      </c>
    </row>
    <row r="304" spans="1:10" x14ac:dyDescent="0.35">
      <c r="A304" t="s">
        <v>10</v>
      </c>
      <c r="B304" t="s">
        <v>16</v>
      </c>
      <c r="C304" t="s">
        <v>23</v>
      </c>
      <c r="D304" t="s">
        <v>35</v>
      </c>
      <c r="E304" s="1">
        <v>43831</v>
      </c>
      <c r="F304" s="3">
        <v>2000</v>
      </c>
      <c r="G304" s="3">
        <v>136000</v>
      </c>
      <c r="H304" s="3">
        <v>22.62</v>
      </c>
      <c r="I304" s="3">
        <v>216879.3</v>
      </c>
      <c r="J304" s="2">
        <f t="shared" si="4"/>
        <v>0.5947007352941176</v>
      </c>
    </row>
    <row r="305" spans="1:10" x14ac:dyDescent="0.35">
      <c r="A305" t="s">
        <v>11</v>
      </c>
      <c r="B305" t="s">
        <v>19</v>
      </c>
      <c r="C305" t="s">
        <v>24</v>
      </c>
      <c r="D305" t="s">
        <v>34</v>
      </c>
      <c r="E305" s="1">
        <v>45135</v>
      </c>
      <c r="F305" s="3">
        <v>2000</v>
      </c>
      <c r="G305" s="3">
        <v>48000</v>
      </c>
      <c r="H305" s="3">
        <v>40.35</v>
      </c>
      <c r="I305" s="3">
        <v>55316.12</v>
      </c>
      <c r="J305" s="2">
        <f t="shared" si="4"/>
        <v>0.15241916666666672</v>
      </c>
    </row>
    <row r="306" spans="1:10" x14ac:dyDescent="0.35">
      <c r="A306" t="s">
        <v>9</v>
      </c>
      <c r="B306" t="s">
        <v>17</v>
      </c>
      <c r="C306" t="s">
        <v>29</v>
      </c>
      <c r="D306" t="s">
        <v>32</v>
      </c>
      <c r="E306" s="1">
        <v>44890</v>
      </c>
      <c r="F306" s="3">
        <v>1000</v>
      </c>
      <c r="G306" s="3">
        <v>32000</v>
      </c>
      <c r="H306" s="3">
        <v>42.12</v>
      </c>
      <c r="I306" s="3">
        <v>33654.080000000002</v>
      </c>
      <c r="J306" s="2">
        <f t="shared" si="4"/>
        <v>5.1690000000000055E-2</v>
      </c>
    </row>
    <row r="307" spans="1:10" x14ac:dyDescent="0.35">
      <c r="A307" t="s">
        <v>13</v>
      </c>
      <c r="B307" t="s">
        <v>20</v>
      </c>
      <c r="C307" t="s">
        <v>23</v>
      </c>
      <c r="D307" t="s">
        <v>33</v>
      </c>
      <c r="E307" s="1">
        <v>44174</v>
      </c>
      <c r="F307" s="3">
        <v>2000</v>
      </c>
      <c r="G307" s="3">
        <v>112000</v>
      </c>
      <c r="H307" s="3">
        <v>30.02</v>
      </c>
      <c r="I307" s="3">
        <v>136164.63</v>
      </c>
      <c r="J307" s="2">
        <f t="shared" si="4"/>
        <v>0.21575562500000003</v>
      </c>
    </row>
    <row r="308" spans="1:10" x14ac:dyDescent="0.35">
      <c r="A308" t="s">
        <v>13</v>
      </c>
      <c r="B308" t="s">
        <v>18</v>
      </c>
      <c r="C308" t="s">
        <v>29</v>
      </c>
      <c r="D308" t="s">
        <v>36</v>
      </c>
      <c r="E308" s="1">
        <v>45175</v>
      </c>
      <c r="F308" s="3">
        <v>1000</v>
      </c>
      <c r="G308" s="3">
        <v>23000</v>
      </c>
      <c r="H308" s="3">
        <v>42.15</v>
      </c>
      <c r="I308" s="3">
        <v>35859.730000000003</v>
      </c>
      <c r="J308" s="2">
        <f t="shared" si="4"/>
        <v>0.55911869565217409</v>
      </c>
    </row>
    <row r="309" spans="1:10" x14ac:dyDescent="0.35">
      <c r="A309" t="s">
        <v>15</v>
      </c>
      <c r="B309" t="s">
        <v>20</v>
      </c>
      <c r="C309" t="s">
        <v>21</v>
      </c>
      <c r="D309" t="s">
        <v>34</v>
      </c>
      <c r="E309" s="1">
        <v>44307</v>
      </c>
      <c r="F309" s="3">
        <v>1500</v>
      </c>
      <c r="G309" s="3">
        <v>78000</v>
      </c>
      <c r="H309" s="3">
        <v>53.25</v>
      </c>
      <c r="I309" s="3">
        <v>101926.8</v>
      </c>
      <c r="J309" s="2">
        <f t="shared" si="4"/>
        <v>0.30675384615384621</v>
      </c>
    </row>
    <row r="310" spans="1:10" x14ac:dyDescent="0.35">
      <c r="A310" t="s">
        <v>12</v>
      </c>
      <c r="B310" t="s">
        <v>20</v>
      </c>
      <c r="C310" t="s">
        <v>27</v>
      </c>
      <c r="D310" t="s">
        <v>35</v>
      </c>
      <c r="E310" s="1">
        <v>45315</v>
      </c>
      <c r="F310" s="3">
        <v>1500</v>
      </c>
      <c r="G310" s="3">
        <v>27000</v>
      </c>
      <c r="H310" s="3">
        <v>35.96</v>
      </c>
      <c r="I310" s="3">
        <v>39201.519999999997</v>
      </c>
      <c r="J310" s="2">
        <f t="shared" si="4"/>
        <v>0.451908148148148</v>
      </c>
    </row>
    <row r="311" spans="1:10" x14ac:dyDescent="0.35">
      <c r="A311" t="s">
        <v>6</v>
      </c>
      <c r="B311" t="s">
        <v>17</v>
      </c>
      <c r="C311" t="s">
        <v>29</v>
      </c>
      <c r="D311" t="s">
        <v>32</v>
      </c>
      <c r="E311" s="1">
        <v>45136</v>
      </c>
      <c r="F311" s="3">
        <v>3000</v>
      </c>
      <c r="G311" s="3">
        <v>72000</v>
      </c>
      <c r="H311" s="3">
        <v>40.950000000000003</v>
      </c>
      <c r="I311" s="3">
        <v>103438.41</v>
      </c>
      <c r="J311" s="2">
        <f t="shared" si="4"/>
        <v>0.43664458333333339</v>
      </c>
    </row>
    <row r="312" spans="1:10" x14ac:dyDescent="0.35">
      <c r="A312" t="s">
        <v>14</v>
      </c>
      <c r="B312" t="s">
        <v>17</v>
      </c>
      <c r="C312" t="s">
        <v>26</v>
      </c>
      <c r="D312" t="s">
        <v>33</v>
      </c>
      <c r="E312" s="1">
        <v>44808</v>
      </c>
      <c r="F312" s="3">
        <v>1500</v>
      </c>
      <c r="G312" s="3">
        <v>52500</v>
      </c>
      <c r="H312" s="3">
        <v>39.799999999999997</v>
      </c>
      <c r="I312" s="3">
        <v>78398.67</v>
      </c>
      <c r="J312" s="2">
        <f t="shared" si="4"/>
        <v>0.49330799999999997</v>
      </c>
    </row>
    <row r="313" spans="1:10" x14ac:dyDescent="0.35">
      <c r="A313" t="s">
        <v>10</v>
      </c>
      <c r="B313" t="s">
        <v>18</v>
      </c>
      <c r="C313" t="s">
        <v>28</v>
      </c>
      <c r="D313" t="s">
        <v>31</v>
      </c>
      <c r="E313" s="1">
        <v>43927</v>
      </c>
      <c r="F313" s="3">
        <v>1500</v>
      </c>
      <c r="G313" s="3">
        <v>96000</v>
      </c>
      <c r="H313" s="3">
        <v>44.47</v>
      </c>
      <c r="I313" s="3">
        <v>94152.98</v>
      </c>
      <c r="J313" s="2">
        <f t="shared" si="4"/>
        <v>-1.9239791666666711E-2</v>
      </c>
    </row>
    <row r="314" spans="1:10" x14ac:dyDescent="0.35">
      <c r="A314" t="s">
        <v>15</v>
      </c>
      <c r="B314" t="s">
        <v>19</v>
      </c>
      <c r="C314" t="s">
        <v>25</v>
      </c>
      <c r="D314" t="s">
        <v>36</v>
      </c>
      <c r="E314" s="1">
        <v>45007</v>
      </c>
      <c r="F314" s="3">
        <v>2000</v>
      </c>
      <c r="G314" s="3">
        <v>56000</v>
      </c>
      <c r="H314" s="3">
        <v>15.93</v>
      </c>
      <c r="I314" s="3">
        <v>61626.68</v>
      </c>
      <c r="J314" s="2">
        <f t="shared" si="4"/>
        <v>0.10047642857142858</v>
      </c>
    </row>
    <row r="315" spans="1:10" x14ac:dyDescent="0.35">
      <c r="A315" t="s">
        <v>6</v>
      </c>
      <c r="B315" t="s">
        <v>16</v>
      </c>
      <c r="C315" t="s">
        <v>26</v>
      </c>
      <c r="D315" t="s">
        <v>31</v>
      </c>
      <c r="E315" s="1">
        <v>44839</v>
      </c>
      <c r="F315" s="3">
        <v>2000</v>
      </c>
      <c r="G315" s="3">
        <v>68000</v>
      </c>
      <c r="H315" s="3">
        <v>51.64</v>
      </c>
      <c r="I315" s="3">
        <v>69500.95</v>
      </c>
      <c r="J315" s="2">
        <f t="shared" si="4"/>
        <v>2.2072794117647017E-2</v>
      </c>
    </row>
    <row r="316" spans="1:10" x14ac:dyDescent="0.35">
      <c r="A316" t="s">
        <v>10</v>
      </c>
      <c r="B316" t="s">
        <v>19</v>
      </c>
      <c r="C316" t="s">
        <v>27</v>
      </c>
      <c r="D316" t="s">
        <v>33</v>
      </c>
      <c r="E316" s="1">
        <v>44348</v>
      </c>
      <c r="F316" s="3">
        <v>500</v>
      </c>
      <c r="G316" s="3">
        <v>25000</v>
      </c>
      <c r="H316" s="3">
        <v>66.260000000000005</v>
      </c>
      <c r="I316" s="3">
        <v>24534.43</v>
      </c>
      <c r="J316" s="2">
        <f t="shared" si="4"/>
        <v>-1.8622799999999988E-2</v>
      </c>
    </row>
    <row r="317" spans="1:10" x14ac:dyDescent="0.35">
      <c r="A317" t="s">
        <v>7</v>
      </c>
      <c r="B317" t="s">
        <v>17</v>
      </c>
      <c r="C317" t="s">
        <v>30</v>
      </c>
      <c r="D317" t="s">
        <v>33</v>
      </c>
      <c r="E317" s="1">
        <v>44728</v>
      </c>
      <c r="F317" s="3">
        <v>3000</v>
      </c>
      <c r="G317" s="3">
        <v>114000</v>
      </c>
      <c r="H317" s="3">
        <v>55.79</v>
      </c>
      <c r="I317" s="3">
        <v>101310.82</v>
      </c>
      <c r="J317" s="2">
        <f t="shared" si="4"/>
        <v>-0.11130859649122801</v>
      </c>
    </row>
    <row r="318" spans="1:10" x14ac:dyDescent="0.35">
      <c r="A318" t="s">
        <v>15</v>
      </c>
      <c r="B318" t="s">
        <v>20</v>
      </c>
      <c r="C318" t="s">
        <v>26</v>
      </c>
      <c r="D318" t="s">
        <v>32</v>
      </c>
      <c r="E318" s="1">
        <v>45244</v>
      </c>
      <c r="F318" s="3">
        <v>1000</v>
      </c>
      <c r="G318" s="3">
        <v>21000</v>
      </c>
      <c r="H318" s="3">
        <v>11.74</v>
      </c>
      <c r="I318" s="3">
        <v>29916.03</v>
      </c>
      <c r="J318" s="2">
        <f t="shared" si="4"/>
        <v>0.42457285714285709</v>
      </c>
    </row>
    <row r="319" spans="1:10" x14ac:dyDescent="0.35">
      <c r="A319" t="s">
        <v>9</v>
      </c>
      <c r="B319" t="s">
        <v>20</v>
      </c>
      <c r="C319" t="s">
        <v>22</v>
      </c>
      <c r="D319" t="s">
        <v>35</v>
      </c>
      <c r="E319" s="1">
        <v>45126</v>
      </c>
      <c r="F319" s="3">
        <v>3000</v>
      </c>
      <c r="G319" s="3">
        <v>72000</v>
      </c>
      <c r="H319" s="3">
        <v>31.41</v>
      </c>
      <c r="I319" s="3">
        <v>76709.33</v>
      </c>
      <c r="J319" s="2">
        <f t="shared" si="4"/>
        <v>6.5407361111111131E-2</v>
      </c>
    </row>
    <row r="320" spans="1:10" x14ac:dyDescent="0.35">
      <c r="A320" t="s">
        <v>11</v>
      </c>
      <c r="B320" t="s">
        <v>20</v>
      </c>
      <c r="C320" t="s">
        <v>21</v>
      </c>
      <c r="D320" t="s">
        <v>36</v>
      </c>
      <c r="E320" s="1">
        <v>44928</v>
      </c>
      <c r="F320" s="3">
        <v>1500</v>
      </c>
      <c r="G320" s="3">
        <v>46500</v>
      </c>
      <c r="H320" s="3">
        <v>46.28</v>
      </c>
      <c r="I320" s="3">
        <v>44603.05</v>
      </c>
      <c r="J320" s="2">
        <f t="shared" si="4"/>
        <v>-4.0794623655913916E-2</v>
      </c>
    </row>
    <row r="321" spans="1:10" x14ac:dyDescent="0.35">
      <c r="A321" t="s">
        <v>6</v>
      </c>
      <c r="B321" t="s">
        <v>19</v>
      </c>
      <c r="C321" t="s">
        <v>27</v>
      </c>
      <c r="D321" t="s">
        <v>34</v>
      </c>
      <c r="E321" s="1">
        <v>43869</v>
      </c>
      <c r="F321" s="3">
        <v>1500</v>
      </c>
      <c r="G321" s="3">
        <v>99000</v>
      </c>
      <c r="H321" s="3">
        <v>38.369999999999997</v>
      </c>
      <c r="I321" s="3">
        <v>156411.14000000001</v>
      </c>
      <c r="J321" s="2">
        <f t="shared" si="4"/>
        <v>0.57991050505050523</v>
      </c>
    </row>
    <row r="322" spans="1:10" x14ac:dyDescent="0.35">
      <c r="A322" t="s">
        <v>10</v>
      </c>
      <c r="B322" t="s">
        <v>20</v>
      </c>
      <c r="C322" t="s">
        <v>21</v>
      </c>
      <c r="D322" t="s">
        <v>34</v>
      </c>
      <c r="E322" s="1">
        <v>44022</v>
      </c>
      <c r="F322" s="3">
        <v>500</v>
      </c>
      <c r="G322" s="3">
        <v>30500</v>
      </c>
      <c r="H322" s="3">
        <v>39.21</v>
      </c>
      <c r="I322" s="3">
        <v>25555.53</v>
      </c>
      <c r="J322" s="2">
        <f t="shared" si="4"/>
        <v>-0.16211377049180331</v>
      </c>
    </row>
    <row r="323" spans="1:10" x14ac:dyDescent="0.35">
      <c r="A323" t="s">
        <v>9</v>
      </c>
      <c r="B323" t="s">
        <v>16</v>
      </c>
      <c r="C323" t="s">
        <v>27</v>
      </c>
      <c r="D323" t="s">
        <v>33</v>
      </c>
      <c r="E323" s="1">
        <v>43919</v>
      </c>
      <c r="F323" s="3">
        <v>3000</v>
      </c>
      <c r="G323" s="3">
        <v>195000</v>
      </c>
      <c r="H323" s="3">
        <v>42.72</v>
      </c>
      <c r="I323" s="3">
        <v>158341.54</v>
      </c>
      <c r="J323" s="2">
        <f t="shared" ref="J323:J386" si="5">(I323-G323)/G323</f>
        <v>-0.18799210256410251</v>
      </c>
    </row>
    <row r="324" spans="1:10" x14ac:dyDescent="0.35">
      <c r="A324" t="s">
        <v>6</v>
      </c>
      <c r="B324" t="s">
        <v>19</v>
      </c>
      <c r="C324" t="s">
        <v>28</v>
      </c>
      <c r="D324" t="s">
        <v>32</v>
      </c>
      <c r="E324" s="1">
        <v>44085</v>
      </c>
      <c r="F324" s="3">
        <v>1500</v>
      </c>
      <c r="G324" s="3">
        <v>88500</v>
      </c>
      <c r="H324" s="3">
        <v>25.45</v>
      </c>
      <c r="I324" s="3">
        <v>133760.67000000001</v>
      </c>
      <c r="J324" s="2">
        <f t="shared" si="5"/>
        <v>0.5114200000000001</v>
      </c>
    </row>
    <row r="325" spans="1:10" x14ac:dyDescent="0.35">
      <c r="A325" t="s">
        <v>12</v>
      </c>
      <c r="B325" t="s">
        <v>16</v>
      </c>
      <c r="C325" t="s">
        <v>26</v>
      </c>
      <c r="D325" t="s">
        <v>36</v>
      </c>
      <c r="E325" s="1">
        <v>44031</v>
      </c>
      <c r="F325" s="3">
        <v>2000</v>
      </c>
      <c r="G325" s="3">
        <v>122000</v>
      </c>
      <c r="H325" s="3">
        <v>43.3</v>
      </c>
      <c r="I325" s="3">
        <v>189406.1</v>
      </c>
      <c r="J325" s="2">
        <f t="shared" si="5"/>
        <v>0.55250901639344263</v>
      </c>
    </row>
    <row r="326" spans="1:10" x14ac:dyDescent="0.35">
      <c r="A326" t="s">
        <v>12</v>
      </c>
      <c r="B326" t="s">
        <v>19</v>
      </c>
      <c r="C326" t="s">
        <v>21</v>
      </c>
      <c r="D326" t="s">
        <v>34</v>
      </c>
      <c r="E326" s="1">
        <v>44078</v>
      </c>
      <c r="F326" s="3">
        <v>500</v>
      </c>
      <c r="G326" s="3">
        <v>29500</v>
      </c>
      <c r="H326" s="3">
        <v>65.099999999999994</v>
      </c>
      <c r="I326" s="3">
        <v>31090.67</v>
      </c>
      <c r="J326" s="2">
        <f t="shared" si="5"/>
        <v>5.3921016949152481E-2</v>
      </c>
    </row>
    <row r="327" spans="1:10" x14ac:dyDescent="0.35">
      <c r="A327" t="s">
        <v>13</v>
      </c>
      <c r="B327" t="s">
        <v>16</v>
      </c>
      <c r="C327" t="s">
        <v>28</v>
      </c>
      <c r="D327" t="s">
        <v>34</v>
      </c>
      <c r="E327" s="1">
        <v>44184</v>
      </c>
      <c r="F327" s="3">
        <v>2000</v>
      </c>
      <c r="G327" s="3">
        <v>112000</v>
      </c>
      <c r="H327" s="3">
        <v>47.56</v>
      </c>
      <c r="I327" s="3">
        <v>147099.99</v>
      </c>
      <c r="J327" s="2">
        <f t="shared" si="5"/>
        <v>0.31339276785714276</v>
      </c>
    </row>
    <row r="328" spans="1:10" x14ac:dyDescent="0.35">
      <c r="A328" t="s">
        <v>10</v>
      </c>
      <c r="B328" t="s">
        <v>19</v>
      </c>
      <c r="C328" t="s">
        <v>25</v>
      </c>
      <c r="D328" t="s">
        <v>31</v>
      </c>
      <c r="E328" s="1">
        <v>44306</v>
      </c>
      <c r="F328" s="3">
        <v>1500</v>
      </c>
      <c r="G328" s="3">
        <v>78000</v>
      </c>
      <c r="H328" s="3">
        <v>19.28</v>
      </c>
      <c r="I328" s="3">
        <v>72788.31</v>
      </c>
      <c r="J328" s="2">
        <f t="shared" si="5"/>
        <v>-6.6816538461538497E-2</v>
      </c>
    </row>
    <row r="329" spans="1:10" x14ac:dyDescent="0.35">
      <c r="A329" t="s">
        <v>6</v>
      </c>
      <c r="B329" t="s">
        <v>18</v>
      </c>
      <c r="C329" t="s">
        <v>30</v>
      </c>
      <c r="D329" t="s">
        <v>34</v>
      </c>
      <c r="E329" s="1">
        <v>44449</v>
      </c>
      <c r="F329" s="3">
        <v>3000</v>
      </c>
      <c r="G329" s="3">
        <v>141000</v>
      </c>
      <c r="H329" s="3">
        <v>41.43</v>
      </c>
      <c r="I329" s="3">
        <v>182722.19</v>
      </c>
      <c r="J329" s="2">
        <f t="shared" si="5"/>
        <v>0.29590205673758868</v>
      </c>
    </row>
    <row r="330" spans="1:10" x14ac:dyDescent="0.35">
      <c r="A330" t="s">
        <v>6</v>
      </c>
      <c r="B330" t="s">
        <v>17</v>
      </c>
      <c r="C330" t="s">
        <v>21</v>
      </c>
      <c r="D330" t="s">
        <v>32</v>
      </c>
      <c r="E330" s="1">
        <v>44764</v>
      </c>
      <c r="F330" s="3">
        <v>1000</v>
      </c>
      <c r="G330" s="3">
        <v>37000</v>
      </c>
      <c r="H330" s="3">
        <v>66.37</v>
      </c>
      <c r="I330" s="3">
        <v>58609.81</v>
      </c>
      <c r="J330" s="2">
        <f t="shared" si="5"/>
        <v>0.58404891891891886</v>
      </c>
    </row>
    <row r="331" spans="1:10" x14ac:dyDescent="0.35">
      <c r="A331" t="s">
        <v>15</v>
      </c>
      <c r="B331" t="s">
        <v>19</v>
      </c>
      <c r="C331" t="s">
        <v>27</v>
      </c>
      <c r="D331" t="s">
        <v>31</v>
      </c>
      <c r="E331" s="1">
        <v>44261</v>
      </c>
      <c r="F331" s="3">
        <v>3000</v>
      </c>
      <c r="G331" s="3">
        <v>159000</v>
      </c>
      <c r="H331" s="3">
        <v>13.14</v>
      </c>
      <c r="I331" s="3">
        <v>165499.65</v>
      </c>
      <c r="J331" s="2">
        <f t="shared" si="5"/>
        <v>4.0878301886792416E-2</v>
      </c>
    </row>
    <row r="332" spans="1:10" x14ac:dyDescent="0.35">
      <c r="A332" t="s">
        <v>11</v>
      </c>
      <c r="B332" t="s">
        <v>18</v>
      </c>
      <c r="C332" t="s">
        <v>24</v>
      </c>
      <c r="D332" t="s">
        <v>34</v>
      </c>
      <c r="E332" s="1">
        <v>44662</v>
      </c>
      <c r="F332" s="3">
        <v>3000</v>
      </c>
      <c r="G332" s="3">
        <v>120000</v>
      </c>
      <c r="H332" s="3">
        <v>69.56</v>
      </c>
      <c r="I332" s="3">
        <v>149586.53</v>
      </c>
      <c r="J332" s="2">
        <f t="shared" si="5"/>
        <v>0.24655441666666666</v>
      </c>
    </row>
    <row r="333" spans="1:10" x14ac:dyDescent="0.35">
      <c r="A333" t="s">
        <v>14</v>
      </c>
      <c r="B333" t="s">
        <v>16</v>
      </c>
      <c r="C333" t="s">
        <v>25</v>
      </c>
      <c r="D333" t="s">
        <v>34</v>
      </c>
      <c r="E333" s="1">
        <v>44683</v>
      </c>
      <c r="F333" s="3">
        <v>1000</v>
      </c>
      <c r="G333" s="3">
        <v>39000</v>
      </c>
      <c r="H333" s="3">
        <v>55.84</v>
      </c>
      <c r="I333" s="3">
        <v>51929.35</v>
      </c>
      <c r="J333" s="2">
        <f t="shared" si="5"/>
        <v>0.33152179487179484</v>
      </c>
    </row>
    <row r="334" spans="1:10" x14ac:dyDescent="0.35">
      <c r="A334" t="s">
        <v>6</v>
      </c>
      <c r="B334" t="s">
        <v>18</v>
      </c>
      <c r="C334" t="s">
        <v>30</v>
      </c>
      <c r="D334" t="s">
        <v>33</v>
      </c>
      <c r="E334" s="1">
        <v>44614</v>
      </c>
      <c r="F334" s="3">
        <v>500</v>
      </c>
      <c r="G334" s="3">
        <v>21000</v>
      </c>
      <c r="H334" s="3">
        <v>25.33</v>
      </c>
      <c r="I334" s="3">
        <v>22238.080000000002</v>
      </c>
      <c r="J334" s="2">
        <f t="shared" si="5"/>
        <v>5.8956190476190558E-2</v>
      </c>
    </row>
    <row r="335" spans="1:10" x14ac:dyDescent="0.35">
      <c r="A335" t="s">
        <v>11</v>
      </c>
      <c r="B335" t="s">
        <v>20</v>
      </c>
      <c r="C335" t="s">
        <v>26</v>
      </c>
      <c r="D335" t="s">
        <v>31</v>
      </c>
      <c r="E335" s="1">
        <v>45249</v>
      </c>
      <c r="F335" s="3">
        <v>1000</v>
      </c>
      <c r="G335" s="3">
        <v>20000</v>
      </c>
      <c r="H335" s="3">
        <v>12.8</v>
      </c>
      <c r="I335" s="3">
        <v>20083.41</v>
      </c>
      <c r="J335" s="2">
        <f t="shared" si="5"/>
        <v>4.1704999999999928E-3</v>
      </c>
    </row>
    <row r="336" spans="1:10" x14ac:dyDescent="0.35">
      <c r="A336" t="s">
        <v>10</v>
      </c>
      <c r="B336" t="s">
        <v>16</v>
      </c>
      <c r="C336" t="s">
        <v>25</v>
      </c>
      <c r="D336" t="s">
        <v>35</v>
      </c>
      <c r="E336" s="1">
        <v>44896</v>
      </c>
      <c r="F336" s="3">
        <v>1500</v>
      </c>
      <c r="G336" s="3">
        <v>48000</v>
      </c>
      <c r="H336" s="3">
        <v>39.520000000000003</v>
      </c>
      <c r="I336" s="3">
        <v>61539.89</v>
      </c>
      <c r="J336" s="2">
        <f t="shared" si="5"/>
        <v>0.28208104166666664</v>
      </c>
    </row>
    <row r="337" spans="1:10" x14ac:dyDescent="0.35">
      <c r="A337" t="s">
        <v>7</v>
      </c>
      <c r="B337" t="s">
        <v>18</v>
      </c>
      <c r="C337" t="s">
        <v>29</v>
      </c>
      <c r="D337" t="s">
        <v>32</v>
      </c>
      <c r="E337" s="1">
        <v>44907</v>
      </c>
      <c r="F337" s="3">
        <v>3000</v>
      </c>
      <c r="G337" s="3">
        <v>96000</v>
      </c>
      <c r="H337" s="3">
        <v>40.49</v>
      </c>
      <c r="I337" s="3">
        <v>150345.99</v>
      </c>
      <c r="J337" s="2">
        <f t="shared" si="5"/>
        <v>0.56610406249999989</v>
      </c>
    </row>
    <row r="338" spans="1:10" x14ac:dyDescent="0.35">
      <c r="A338" t="s">
        <v>15</v>
      </c>
      <c r="B338" t="s">
        <v>17</v>
      </c>
      <c r="C338" t="s">
        <v>26</v>
      </c>
      <c r="D338" t="s">
        <v>34</v>
      </c>
      <c r="E338" s="1">
        <v>44644</v>
      </c>
      <c r="F338" s="3">
        <v>1000</v>
      </c>
      <c r="G338" s="3">
        <v>41000</v>
      </c>
      <c r="H338" s="3">
        <v>65.02</v>
      </c>
      <c r="I338" s="3">
        <v>36591.32</v>
      </c>
      <c r="J338" s="2">
        <f t="shared" si="5"/>
        <v>-0.10752878048780488</v>
      </c>
    </row>
    <row r="339" spans="1:10" x14ac:dyDescent="0.35">
      <c r="A339" t="s">
        <v>6</v>
      </c>
      <c r="B339" t="s">
        <v>17</v>
      </c>
      <c r="C339" t="s">
        <v>29</v>
      </c>
      <c r="D339" t="s">
        <v>36</v>
      </c>
      <c r="E339" s="1">
        <v>44679</v>
      </c>
      <c r="F339" s="3">
        <v>3000</v>
      </c>
      <c r="G339" s="3">
        <v>117000</v>
      </c>
      <c r="H339" s="3">
        <v>33.06</v>
      </c>
      <c r="I339" s="3">
        <v>164165.34</v>
      </c>
      <c r="J339" s="2">
        <f t="shared" si="5"/>
        <v>0.40312256410256408</v>
      </c>
    </row>
    <row r="340" spans="1:10" x14ac:dyDescent="0.35">
      <c r="A340" t="s">
        <v>10</v>
      </c>
      <c r="B340" t="s">
        <v>19</v>
      </c>
      <c r="C340" t="s">
        <v>24</v>
      </c>
      <c r="D340" t="s">
        <v>36</v>
      </c>
      <c r="E340" s="1">
        <v>44415</v>
      </c>
      <c r="F340" s="3">
        <v>2000</v>
      </c>
      <c r="G340" s="3">
        <v>96000</v>
      </c>
      <c r="H340" s="3">
        <v>41.34</v>
      </c>
      <c r="I340" s="3">
        <v>127304.04</v>
      </c>
      <c r="J340" s="2">
        <f t="shared" si="5"/>
        <v>0.32608374999999995</v>
      </c>
    </row>
    <row r="341" spans="1:10" x14ac:dyDescent="0.35">
      <c r="A341" t="s">
        <v>10</v>
      </c>
      <c r="B341" t="s">
        <v>18</v>
      </c>
      <c r="C341" t="s">
        <v>26</v>
      </c>
      <c r="D341" t="s">
        <v>35</v>
      </c>
      <c r="E341" s="1">
        <v>45206</v>
      </c>
      <c r="F341" s="3">
        <v>2000</v>
      </c>
      <c r="G341" s="3">
        <v>44000</v>
      </c>
      <c r="H341" s="3">
        <v>39.520000000000003</v>
      </c>
      <c r="I341" s="3">
        <v>53661.72</v>
      </c>
      <c r="J341" s="2">
        <f t="shared" si="5"/>
        <v>0.21958454545454548</v>
      </c>
    </row>
    <row r="342" spans="1:10" x14ac:dyDescent="0.35">
      <c r="A342" t="s">
        <v>12</v>
      </c>
      <c r="B342" t="s">
        <v>19</v>
      </c>
      <c r="C342" t="s">
        <v>23</v>
      </c>
      <c r="D342" t="s">
        <v>35</v>
      </c>
      <c r="E342" s="1">
        <v>44779</v>
      </c>
      <c r="F342" s="3">
        <v>3000</v>
      </c>
      <c r="G342" s="3">
        <v>108000</v>
      </c>
      <c r="H342" s="3">
        <v>22.58</v>
      </c>
      <c r="I342" s="3">
        <v>97886.96</v>
      </c>
      <c r="J342" s="2">
        <f t="shared" si="5"/>
        <v>-9.36392592592592E-2</v>
      </c>
    </row>
    <row r="343" spans="1:10" x14ac:dyDescent="0.35">
      <c r="A343" t="s">
        <v>11</v>
      </c>
      <c r="B343" t="s">
        <v>20</v>
      </c>
      <c r="C343" t="s">
        <v>24</v>
      </c>
      <c r="D343" t="s">
        <v>35</v>
      </c>
      <c r="E343" s="1">
        <v>45184</v>
      </c>
      <c r="F343" s="3">
        <v>2000</v>
      </c>
      <c r="G343" s="3">
        <v>46000</v>
      </c>
      <c r="H343" s="3">
        <v>42.75</v>
      </c>
      <c r="I343" s="3">
        <v>42745.89</v>
      </c>
      <c r="J343" s="2">
        <f t="shared" si="5"/>
        <v>-7.0741521739130453E-2</v>
      </c>
    </row>
    <row r="344" spans="1:10" x14ac:dyDescent="0.35">
      <c r="A344" t="s">
        <v>11</v>
      </c>
      <c r="B344" t="s">
        <v>17</v>
      </c>
      <c r="C344" t="s">
        <v>25</v>
      </c>
      <c r="D344" t="s">
        <v>36</v>
      </c>
      <c r="E344" s="1">
        <v>44004</v>
      </c>
      <c r="F344" s="3">
        <v>500</v>
      </c>
      <c r="G344" s="3">
        <v>31000</v>
      </c>
      <c r="H344" s="3">
        <v>40.07</v>
      </c>
      <c r="I344" s="3">
        <v>37096.97</v>
      </c>
      <c r="J344" s="2">
        <f t="shared" si="5"/>
        <v>0.19667645161290326</v>
      </c>
    </row>
    <row r="345" spans="1:10" x14ac:dyDescent="0.35">
      <c r="A345" t="s">
        <v>8</v>
      </c>
      <c r="B345" t="s">
        <v>18</v>
      </c>
      <c r="C345" t="s">
        <v>28</v>
      </c>
      <c r="D345" t="s">
        <v>33</v>
      </c>
      <c r="E345" s="1">
        <v>44448</v>
      </c>
      <c r="F345" s="3">
        <v>2000</v>
      </c>
      <c r="G345" s="3">
        <v>94000</v>
      </c>
      <c r="H345" s="3">
        <v>67.34</v>
      </c>
      <c r="I345" s="3">
        <v>112745.18</v>
      </c>
      <c r="J345" s="2">
        <f t="shared" si="5"/>
        <v>0.19941680851063823</v>
      </c>
    </row>
    <row r="346" spans="1:10" x14ac:dyDescent="0.35">
      <c r="A346" t="s">
        <v>6</v>
      </c>
      <c r="B346" t="s">
        <v>20</v>
      </c>
      <c r="C346" t="s">
        <v>24</v>
      </c>
      <c r="D346" t="s">
        <v>32</v>
      </c>
      <c r="E346" s="1">
        <v>44538</v>
      </c>
      <c r="F346" s="3">
        <v>1500</v>
      </c>
      <c r="G346" s="3">
        <v>66000</v>
      </c>
      <c r="H346" s="3">
        <v>18.190000000000001</v>
      </c>
      <c r="I346" s="3">
        <v>95356.76</v>
      </c>
      <c r="J346" s="2">
        <f t="shared" si="5"/>
        <v>0.44479939393939388</v>
      </c>
    </row>
    <row r="347" spans="1:10" x14ac:dyDescent="0.35">
      <c r="A347" t="s">
        <v>10</v>
      </c>
      <c r="B347" t="s">
        <v>16</v>
      </c>
      <c r="C347" t="s">
        <v>28</v>
      </c>
      <c r="D347" t="s">
        <v>32</v>
      </c>
      <c r="E347" s="1">
        <v>44700</v>
      </c>
      <c r="F347" s="3">
        <v>500</v>
      </c>
      <c r="G347" s="3">
        <v>19500</v>
      </c>
      <c r="H347" s="3">
        <v>35.340000000000003</v>
      </c>
      <c r="I347" s="3">
        <v>16154.41</v>
      </c>
      <c r="J347" s="2">
        <f t="shared" si="5"/>
        <v>-0.17156871794871795</v>
      </c>
    </row>
    <row r="348" spans="1:10" x14ac:dyDescent="0.35">
      <c r="A348" t="s">
        <v>12</v>
      </c>
      <c r="B348" t="s">
        <v>20</v>
      </c>
      <c r="C348" t="s">
        <v>22</v>
      </c>
      <c r="D348" t="s">
        <v>33</v>
      </c>
      <c r="E348" s="1">
        <v>43832</v>
      </c>
      <c r="F348" s="3">
        <v>500</v>
      </c>
      <c r="G348" s="3">
        <v>34000</v>
      </c>
      <c r="H348" s="3">
        <v>29.15</v>
      </c>
      <c r="I348" s="3">
        <v>49999.31</v>
      </c>
      <c r="J348" s="2">
        <f t="shared" si="5"/>
        <v>0.47056794117647049</v>
      </c>
    </row>
    <row r="349" spans="1:10" x14ac:dyDescent="0.35">
      <c r="A349" t="s">
        <v>10</v>
      </c>
      <c r="B349" t="s">
        <v>18</v>
      </c>
      <c r="C349" t="s">
        <v>23</v>
      </c>
      <c r="D349" t="s">
        <v>31</v>
      </c>
      <c r="E349" s="1">
        <v>44173</v>
      </c>
      <c r="F349" s="3">
        <v>2000</v>
      </c>
      <c r="G349" s="3">
        <v>112000</v>
      </c>
      <c r="H349" s="3">
        <v>12.46</v>
      </c>
      <c r="I349" s="3">
        <v>154357.81</v>
      </c>
      <c r="J349" s="2">
        <f t="shared" si="5"/>
        <v>0.37819473214285715</v>
      </c>
    </row>
    <row r="350" spans="1:10" x14ac:dyDescent="0.35">
      <c r="A350" t="s">
        <v>8</v>
      </c>
      <c r="B350" t="s">
        <v>17</v>
      </c>
      <c r="C350" t="s">
        <v>27</v>
      </c>
      <c r="D350" t="s">
        <v>32</v>
      </c>
      <c r="E350" s="1">
        <v>45209</v>
      </c>
      <c r="F350" s="3">
        <v>3000</v>
      </c>
      <c r="G350" s="3">
        <v>66000</v>
      </c>
      <c r="H350" s="3">
        <v>50.88</v>
      </c>
      <c r="I350" s="3">
        <v>73363.02</v>
      </c>
      <c r="J350" s="2">
        <f t="shared" si="5"/>
        <v>0.11156090909090915</v>
      </c>
    </row>
    <row r="351" spans="1:10" x14ac:dyDescent="0.35">
      <c r="A351" t="s">
        <v>11</v>
      </c>
      <c r="B351" t="s">
        <v>16</v>
      </c>
      <c r="C351" t="s">
        <v>23</v>
      </c>
      <c r="D351" t="s">
        <v>32</v>
      </c>
      <c r="E351" s="1">
        <v>44943</v>
      </c>
      <c r="F351" s="3">
        <v>1000</v>
      </c>
      <c r="G351" s="3">
        <v>31000</v>
      </c>
      <c r="H351" s="3">
        <v>33.229999999999997</v>
      </c>
      <c r="I351" s="3">
        <v>33522.74</v>
      </c>
      <c r="J351" s="2">
        <f t="shared" si="5"/>
        <v>8.1378709677419295E-2</v>
      </c>
    </row>
    <row r="352" spans="1:10" x14ac:dyDescent="0.35">
      <c r="A352" t="s">
        <v>10</v>
      </c>
      <c r="B352" t="s">
        <v>18</v>
      </c>
      <c r="C352" t="s">
        <v>25</v>
      </c>
      <c r="D352" t="s">
        <v>33</v>
      </c>
      <c r="E352" s="1">
        <v>44179</v>
      </c>
      <c r="F352" s="3">
        <v>500</v>
      </c>
      <c r="G352" s="3">
        <v>28000</v>
      </c>
      <c r="H352" s="3">
        <v>15.74</v>
      </c>
      <c r="I352" s="3">
        <v>24843.74</v>
      </c>
      <c r="J352" s="2">
        <f t="shared" si="5"/>
        <v>-0.11272357142857137</v>
      </c>
    </row>
    <row r="353" spans="1:10" x14ac:dyDescent="0.35">
      <c r="A353" t="s">
        <v>14</v>
      </c>
      <c r="B353" t="s">
        <v>20</v>
      </c>
      <c r="C353" t="s">
        <v>25</v>
      </c>
      <c r="D353" t="s">
        <v>31</v>
      </c>
      <c r="E353" s="1">
        <v>44392</v>
      </c>
      <c r="F353" s="3">
        <v>1500</v>
      </c>
      <c r="G353" s="3">
        <v>73500</v>
      </c>
      <c r="H353" s="3">
        <v>57.25</v>
      </c>
      <c r="I353" s="3">
        <v>84883.98</v>
      </c>
      <c r="J353" s="2">
        <f t="shared" si="5"/>
        <v>0.15488408163265299</v>
      </c>
    </row>
    <row r="354" spans="1:10" x14ac:dyDescent="0.35">
      <c r="A354" t="s">
        <v>7</v>
      </c>
      <c r="B354" t="s">
        <v>16</v>
      </c>
      <c r="C354" t="s">
        <v>28</v>
      </c>
      <c r="D354" t="s">
        <v>32</v>
      </c>
      <c r="E354" s="1">
        <v>44375</v>
      </c>
      <c r="F354" s="3">
        <v>500</v>
      </c>
      <c r="G354" s="3">
        <v>24500</v>
      </c>
      <c r="H354" s="3">
        <v>45.56</v>
      </c>
      <c r="I354" s="3">
        <v>25775.5</v>
      </c>
      <c r="J354" s="2">
        <f t="shared" si="5"/>
        <v>5.2061224489795915E-2</v>
      </c>
    </row>
    <row r="355" spans="1:10" x14ac:dyDescent="0.35">
      <c r="A355" t="s">
        <v>10</v>
      </c>
      <c r="B355" t="s">
        <v>17</v>
      </c>
      <c r="C355" t="s">
        <v>29</v>
      </c>
      <c r="D355" t="s">
        <v>32</v>
      </c>
      <c r="E355" s="1">
        <v>45134</v>
      </c>
      <c r="F355" s="3">
        <v>3000</v>
      </c>
      <c r="G355" s="3">
        <v>72000</v>
      </c>
      <c r="H355" s="3">
        <v>52.05</v>
      </c>
      <c r="I355" s="3">
        <v>93448.53</v>
      </c>
      <c r="J355" s="2">
        <f t="shared" si="5"/>
        <v>0.29789624999999997</v>
      </c>
    </row>
    <row r="356" spans="1:10" x14ac:dyDescent="0.35">
      <c r="A356" t="s">
        <v>13</v>
      </c>
      <c r="B356" t="s">
        <v>16</v>
      </c>
      <c r="C356" t="s">
        <v>26</v>
      </c>
      <c r="D356" t="s">
        <v>32</v>
      </c>
      <c r="E356" s="1">
        <v>45306</v>
      </c>
      <c r="F356" s="3">
        <v>3000</v>
      </c>
      <c r="G356" s="3">
        <v>54000</v>
      </c>
      <c r="H356" s="3">
        <v>15.81</v>
      </c>
      <c r="I356" s="3">
        <v>51271.02</v>
      </c>
      <c r="J356" s="2">
        <f t="shared" si="5"/>
        <v>-5.0536666666666723E-2</v>
      </c>
    </row>
    <row r="357" spans="1:10" x14ac:dyDescent="0.35">
      <c r="A357" t="s">
        <v>12</v>
      </c>
      <c r="B357" t="s">
        <v>17</v>
      </c>
      <c r="C357" t="s">
        <v>22</v>
      </c>
      <c r="D357" t="s">
        <v>35</v>
      </c>
      <c r="E357" s="1">
        <v>44409</v>
      </c>
      <c r="F357" s="3">
        <v>2000</v>
      </c>
      <c r="G357" s="3">
        <v>96000</v>
      </c>
      <c r="H357" s="3">
        <v>22.75</v>
      </c>
      <c r="I357" s="3">
        <v>153137.88</v>
      </c>
      <c r="J357" s="2">
        <f t="shared" si="5"/>
        <v>0.59518625000000003</v>
      </c>
    </row>
    <row r="358" spans="1:10" x14ac:dyDescent="0.35">
      <c r="A358" t="s">
        <v>8</v>
      </c>
      <c r="B358" t="s">
        <v>19</v>
      </c>
      <c r="C358" t="s">
        <v>28</v>
      </c>
      <c r="D358" t="s">
        <v>31</v>
      </c>
      <c r="E358" s="1">
        <v>44659</v>
      </c>
      <c r="F358" s="3">
        <v>1000</v>
      </c>
      <c r="G358" s="3">
        <v>40000</v>
      </c>
      <c r="H358" s="3">
        <v>20.41</v>
      </c>
      <c r="I358" s="3">
        <v>46861.32</v>
      </c>
      <c r="J358" s="2">
        <f t="shared" si="5"/>
        <v>0.17153299999999999</v>
      </c>
    </row>
    <row r="359" spans="1:10" x14ac:dyDescent="0.35">
      <c r="A359" t="s">
        <v>11</v>
      </c>
      <c r="B359" t="s">
        <v>16</v>
      </c>
      <c r="C359" t="s">
        <v>24</v>
      </c>
      <c r="D359" t="s">
        <v>35</v>
      </c>
      <c r="E359" s="1">
        <v>45276</v>
      </c>
      <c r="F359" s="3">
        <v>500</v>
      </c>
      <c r="G359" s="3">
        <v>9500</v>
      </c>
      <c r="H359" s="3">
        <v>17.09</v>
      </c>
      <c r="I359" s="3">
        <v>10654.54</v>
      </c>
      <c r="J359" s="2">
        <f t="shared" si="5"/>
        <v>0.12153052631578956</v>
      </c>
    </row>
    <row r="360" spans="1:10" x14ac:dyDescent="0.35">
      <c r="A360" t="s">
        <v>15</v>
      </c>
      <c r="B360" t="s">
        <v>19</v>
      </c>
      <c r="C360" t="s">
        <v>28</v>
      </c>
      <c r="D360" t="s">
        <v>31</v>
      </c>
      <c r="E360" s="1">
        <v>45125</v>
      </c>
      <c r="F360" s="3">
        <v>3000</v>
      </c>
      <c r="G360" s="3">
        <v>72000</v>
      </c>
      <c r="H360" s="3">
        <v>45.91</v>
      </c>
      <c r="I360" s="3">
        <v>99382.83</v>
      </c>
      <c r="J360" s="2">
        <f t="shared" si="5"/>
        <v>0.38031708333333336</v>
      </c>
    </row>
    <row r="361" spans="1:10" x14ac:dyDescent="0.35">
      <c r="A361" t="s">
        <v>14</v>
      </c>
      <c r="B361" t="s">
        <v>19</v>
      </c>
      <c r="C361" t="s">
        <v>23</v>
      </c>
      <c r="D361" t="s">
        <v>34</v>
      </c>
      <c r="E361" s="1">
        <v>44915</v>
      </c>
      <c r="F361" s="3">
        <v>500</v>
      </c>
      <c r="G361" s="3">
        <v>15500</v>
      </c>
      <c r="H361" s="3">
        <v>24.34</v>
      </c>
      <c r="I361" s="3">
        <v>16310.72</v>
      </c>
      <c r="J361" s="2">
        <f t="shared" si="5"/>
        <v>5.2304516129032218E-2</v>
      </c>
    </row>
    <row r="362" spans="1:10" x14ac:dyDescent="0.35">
      <c r="A362" t="s">
        <v>11</v>
      </c>
      <c r="B362" t="s">
        <v>20</v>
      </c>
      <c r="C362" t="s">
        <v>25</v>
      </c>
      <c r="D362" t="s">
        <v>35</v>
      </c>
      <c r="E362" s="1">
        <v>44391</v>
      </c>
      <c r="F362" s="3">
        <v>1500</v>
      </c>
      <c r="G362" s="3">
        <v>73500</v>
      </c>
      <c r="H362" s="3">
        <v>31.16</v>
      </c>
      <c r="I362" s="3">
        <v>76076.45</v>
      </c>
      <c r="J362" s="2">
        <f t="shared" si="5"/>
        <v>3.5053741496598602E-2</v>
      </c>
    </row>
    <row r="363" spans="1:10" x14ac:dyDescent="0.35">
      <c r="A363" t="s">
        <v>12</v>
      </c>
      <c r="B363" t="s">
        <v>20</v>
      </c>
      <c r="C363" t="s">
        <v>28</v>
      </c>
      <c r="D363" t="s">
        <v>36</v>
      </c>
      <c r="E363" s="1">
        <v>44777</v>
      </c>
      <c r="F363" s="3">
        <v>1000</v>
      </c>
      <c r="G363" s="3">
        <v>36000</v>
      </c>
      <c r="H363" s="3">
        <v>57.7</v>
      </c>
      <c r="I363" s="3">
        <v>29268.57</v>
      </c>
      <c r="J363" s="2">
        <f t="shared" si="5"/>
        <v>-0.18698416666666667</v>
      </c>
    </row>
    <row r="364" spans="1:10" x14ac:dyDescent="0.35">
      <c r="A364" t="s">
        <v>8</v>
      </c>
      <c r="B364" t="s">
        <v>17</v>
      </c>
      <c r="C364" t="s">
        <v>26</v>
      </c>
      <c r="D364" t="s">
        <v>31</v>
      </c>
      <c r="E364" s="1">
        <v>44216</v>
      </c>
      <c r="F364" s="3">
        <v>500</v>
      </c>
      <c r="G364" s="3">
        <v>27500</v>
      </c>
      <c r="H364" s="3">
        <v>51.59</v>
      </c>
      <c r="I364" s="3">
        <v>23776.91</v>
      </c>
      <c r="J364" s="2">
        <f t="shared" si="5"/>
        <v>-0.13538509090909093</v>
      </c>
    </row>
    <row r="365" spans="1:10" x14ac:dyDescent="0.35">
      <c r="A365" t="s">
        <v>8</v>
      </c>
      <c r="B365" t="s">
        <v>17</v>
      </c>
      <c r="C365" t="s">
        <v>22</v>
      </c>
      <c r="D365" t="s">
        <v>32</v>
      </c>
      <c r="E365" s="1">
        <v>44565</v>
      </c>
      <c r="F365" s="3">
        <v>3000</v>
      </c>
      <c r="G365" s="3">
        <v>129000</v>
      </c>
      <c r="H365" s="3">
        <v>17.850000000000001</v>
      </c>
      <c r="I365" s="3">
        <v>162266</v>
      </c>
      <c r="J365" s="2">
        <f t="shared" si="5"/>
        <v>0.25787596899224807</v>
      </c>
    </row>
    <row r="366" spans="1:10" x14ac:dyDescent="0.35">
      <c r="A366" t="s">
        <v>8</v>
      </c>
      <c r="B366" t="s">
        <v>17</v>
      </c>
      <c r="C366" t="s">
        <v>28</v>
      </c>
      <c r="D366" t="s">
        <v>31</v>
      </c>
      <c r="E366" s="1">
        <v>44853</v>
      </c>
      <c r="F366" s="3">
        <v>500</v>
      </c>
      <c r="G366" s="3">
        <v>17000</v>
      </c>
      <c r="H366" s="3">
        <v>27.69</v>
      </c>
      <c r="I366" s="3">
        <v>23078.81</v>
      </c>
      <c r="J366" s="2">
        <f t="shared" si="5"/>
        <v>0.35757705882352947</v>
      </c>
    </row>
    <row r="367" spans="1:10" x14ac:dyDescent="0.35">
      <c r="A367" t="s">
        <v>9</v>
      </c>
      <c r="B367" t="s">
        <v>17</v>
      </c>
      <c r="C367" t="s">
        <v>28</v>
      </c>
      <c r="D367" t="s">
        <v>33</v>
      </c>
      <c r="E367" s="1">
        <v>44532</v>
      </c>
      <c r="F367" s="3">
        <v>3000</v>
      </c>
      <c r="G367" s="3">
        <v>132000</v>
      </c>
      <c r="H367" s="3">
        <v>38.93</v>
      </c>
      <c r="I367" s="3">
        <v>153426.01999999999</v>
      </c>
      <c r="J367" s="2">
        <f t="shared" si="5"/>
        <v>0.16231833333333326</v>
      </c>
    </row>
    <row r="368" spans="1:10" x14ac:dyDescent="0.35">
      <c r="A368" t="s">
        <v>9</v>
      </c>
      <c r="B368" t="s">
        <v>20</v>
      </c>
      <c r="C368" t="s">
        <v>28</v>
      </c>
      <c r="D368" t="s">
        <v>32</v>
      </c>
      <c r="E368" s="1">
        <v>44704</v>
      </c>
      <c r="F368" s="3">
        <v>1500</v>
      </c>
      <c r="G368" s="3">
        <v>58500</v>
      </c>
      <c r="H368" s="3">
        <v>31.13</v>
      </c>
      <c r="I368" s="3">
        <v>58922.69</v>
      </c>
      <c r="J368" s="2">
        <f t="shared" si="5"/>
        <v>7.2254700854701252E-3</v>
      </c>
    </row>
    <row r="369" spans="1:10" x14ac:dyDescent="0.35">
      <c r="A369" t="s">
        <v>12</v>
      </c>
      <c r="B369" t="s">
        <v>17</v>
      </c>
      <c r="C369" t="s">
        <v>30</v>
      </c>
      <c r="D369" t="s">
        <v>33</v>
      </c>
      <c r="E369" s="1">
        <v>44523</v>
      </c>
      <c r="F369" s="3">
        <v>3000</v>
      </c>
      <c r="G369" s="3">
        <v>135000</v>
      </c>
      <c r="H369" s="3">
        <v>58.45</v>
      </c>
      <c r="I369" s="3">
        <v>135163.25</v>
      </c>
      <c r="J369" s="2">
        <f t="shared" si="5"/>
        <v>1.2092592592592593E-3</v>
      </c>
    </row>
    <row r="370" spans="1:10" x14ac:dyDescent="0.35">
      <c r="A370" t="s">
        <v>12</v>
      </c>
      <c r="B370" t="s">
        <v>16</v>
      </c>
      <c r="C370" t="s">
        <v>26</v>
      </c>
      <c r="D370" t="s">
        <v>33</v>
      </c>
      <c r="E370" s="1">
        <v>45067</v>
      </c>
      <c r="F370" s="3">
        <v>1500</v>
      </c>
      <c r="G370" s="3">
        <v>39000</v>
      </c>
      <c r="H370" s="3">
        <v>11.38</v>
      </c>
      <c r="I370" s="3">
        <v>46696.09</v>
      </c>
      <c r="J370" s="2">
        <f t="shared" si="5"/>
        <v>0.19733564102564094</v>
      </c>
    </row>
    <row r="371" spans="1:10" x14ac:dyDescent="0.35">
      <c r="A371" t="s">
        <v>15</v>
      </c>
      <c r="B371" t="s">
        <v>18</v>
      </c>
      <c r="C371" t="s">
        <v>29</v>
      </c>
      <c r="D371" t="s">
        <v>36</v>
      </c>
      <c r="E371" s="1">
        <v>44132</v>
      </c>
      <c r="F371" s="3">
        <v>1500</v>
      </c>
      <c r="G371" s="3">
        <v>87000</v>
      </c>
      <c r="H371" s="3">
        <v>11.61</v>
      </c>
      <c r="I371" s="3">
        <v>135304.98000000001</v>
      </c>
      <c r="J371" s="2">
        <f t="shared" si="5"/>
        <v>0.55522965517241396</v>
      </c>
    </row>
    <row r="372" spans="1:10" x14ac:dyDescent="0.35">
      <c r="A372" t="s">
        <v>7</v>
      </c>
      <c r="B372" t="s">
        <v>18</v>
      </c>
      <c r="C372" t="s">
        <v>27</v>
      </c>
      <c r="D372" t="s">
        <v>32</v>
      </c>
      <c r="E372" s="1">
        <v>44041</v>
      </c>
      <c r="F372" s="3">
        <v>1000</v>
      </c>
      <c r="G372" s="3">
        <v>61000</v>
      </c>
      <c r="H372" s="3">
        <v>31.56</v>
      </c>
      <c r="I372" s="3">
        <v>52926.59</v>
      </c>
      <c r="J372" s="2">
        <f t="shared" si="5"/>
        <v>-0.13235098360655742</v>
      </c>
    </row>
    <row r="373" spans="1:10" x14ac:dyDescent="0.35">
      <c r="A373" t="s">
        <v>9</v>
      </c>
      <c r="B373" t="s">
        <v>16</v>
      </c>
      <c r="C373" t="s">
        <v>27</v>
      </c>
      <c r="D373" t="s">
        <v>32</v>
      </c>
      <c r="E373" s="1">
        <v>43971</v>
      </c>
      <c r="F373" s="3">
        <v>1000</v>
      </c>
      <c r="G373" s="3">
        <v>63000</v>
      </c>
      <c r="H373" s="3">
        <v>49.04</v>
      </c>
      <c r="I373" s="3">
        <v>80052.66</v>
      </c>
      <c r="J373" s="2">
        <f t="shared" si="5"/>
        <v>0.27067714285714289</v>
      </c>
    </row>
    <row r="374" spans="1:10" x14ac:dyDescent="0.35">
      <c r="A374" t="s">
        <v>11</v>
      </c>
      <c r="B374" t="s">
        <v>19</v>
      </c>
      <c r="C374" t="s">
        <v>21</v>
      </c>
      <c r="D374" t="s">
        <v>31</v>
      </c>
      <c r="E374" s="1">
        <v>44176</v>
      </c>
      <c r="F374" s="3">
        <v>3000</v>
      </c>
      <c r="G374" s="3">
        <v>168000</v>
      </c>
      <c r="H374" s="3">
        <v>33.25</v>
      </c>
      <c r="I374" s="3">
        <v>188295.83</v>
      </c>
      <c r="J374" s="2">
        <f t="shared" si="5"/>
        <v>0.12080851190476183</v>
      </c>
    </row>
    <row r="375" spans="1:10" x14ac:dyDescent="0.35">
      <c r="A375" t="s">
        <v>10</v>
      </c>
      <c r="B375" t="s">
        <v>16</v>
      </c>
      <c r="C375" t="s">
        <v>23</v>
      </c>
      <c r="D375" t="s">
        <v>35</v>
      </c>
      <c r="E375" s="1">
        <v>44957</v>
      </c>
      <c r="F375" s="3">
        <v>1500</v>
      </c>
      <c r="G375" s="3">
        <v>45000</v>
      </c>
      <c r="H375" s="3">
        <v>38.76</v>
      </c>
      <c r="I375" s="3">
        <v>63237.89</v>
      </c>
      <c r="J375" s="2">
        <f t="shared" si="5"/>
        <v>0.40528644444444445</v>
      </c>
    </row>
    <row r="376" spans="1:10" x14ac:dyDescent="0.35">
      <c r="A376" t="s">
        <v>11</v>
      </c>
      <c r="B376" t="s">
        <v>17</v>
      </c>
      <c r="C376" t="s">
        <v>21</v>
      </c>
      <c r="D376" t="s">
        <v>34</v>
      </c>
      <c r="E376" s="1">
        <v>44518</v>
      </c>
      <c r="F376" s="3">
        <v>1000</v>
      </c>
      <c r="G376" s="3">
        <v>45000</v>
      </c>
      <c r="H376" s="3">
        <v>58.06</v>
      </c>
      <c r="I376" s="3">
        <v>38321.019999999997</v>
      </c>
      <c r="J376" s="2">
        <f t="shared" si="5"/>
        <v>-0.14842177777777785</v>
      </c>
    </row>
    <row r="377" spans="1:10" x14ac:dyDescent="0.35">
      <c r="A377" t="s">
        <v>9</v>
      </c>
      <c r="B377" t="s">
        <v>17</v>
      </c>
      <c r="C377" t="s">
        <v>29</v>
      </c>
      <c r="D377" t="s">
        <v>32</v>
      </c>
      <c r="E377" s="1">
        <v>45237</v>
      </c>
      <c r="F377" s="3">
        <v>1500</v>
      </c>
      <c r="G377" s="3">
        <v>31500</v>
      </c>
      <c r="H377" s="3">
        <v>58.6</v>
      </c>
      <c r="I377" s="3">
        <v>28720.21</v>
      </c>
      <c r="J377" s="2">
        <f t="shared" si="5"/>
        <v>-8.824730158730161E-2</v>
      </c>
    </row>
    <row r="378" spans="1:10" x14ac:dyDescent="0.35">
      <c r="A378" t="s">
        <v>11</v>
      </c>
      <c r="B378" t="s">
        <v>20</v>
      </c>
      <c r="C378" t="s">
        <v>22</v>
      </c>
      <c r="D378" t="s">
        <v>32</v>
      </c>
      <c r="E378" s="1">
        <v>44130</v>
      </c>
      <c r="F378" s="3">
        <v>1500</v>
      </c>
      <c r="G378" s="3">
        <v>87000</v>
      </c>
      <c r="H378" s="3">
        <v>33.24</v>
      </c>
      <c r="I378" s="3">
        <v>134660.46</v>
      </c>
      <c r="J378" s="2">
        <f t="shared" si="5"/>
        <v>0.54782137931034469</v>
      </c>
    </row>
    <row r="379" spans="1:10" x14ac:dyDescent="0.35">
      <c r="A379" t="s">
        <v>15</v>
      </c>
      <c r="B379" t="s">
        <v>16</v>
      </c>
      <c r="C379" t="s">
        <v>28</v>
      </c>
      <c r="D379" t="s">
        <v>36</v>
      </c>
      <c r="E379" s="1">
        <v>44489</v>
      </c>
      <c r="F379" s="3">
        <v>3000</v>
      </c>
      <c r="G379" s="3">
        <v>138000</v>
      </c>
      <c r="H379" s="3">
        <v>31.71</v>
      </c>
      <c r="I379" s="3">
        <v>129344.6</v>
      </c>
      <c r="J379" s="2">
        <f t="shared" si="5"/>
        <v>-6.2720289855072428E-2</v>
      </c>
    </row>
    <row r="380" spans="1:10" x14ac:dyDescent="0.35">
      <c r="A380" t="s">
        <v>15</v>
      </c>
      <c r="B380" t="s">
        <v>17</v>
      </c>
      <c r="C380" t="s">
        <v>21</v>
      </c>
      <c r="D380" t="s">
        <v>32</v>
      </c>
      <c r="E380" s="1">
        <v>44032</v>
      </c>
      <c r="F380" s="3">
        <v>1000</v>
      </c>
      <c r="G380" s="3">
        <v>61000</v>
      </c>
      <c r="H380" s="3">
        <v>56.02</v>
      </c>
      <c r="I380" s="3">
        <v>63663.28</v>
      </c>
      <c r="J380" s="2">
        <f t="shared" si="5"/>
        <v>4.366032786885244E-2</v>
      </c>
    </row>
    <row r="381" spans="1:10" x14ac:dyDescent="0.35">
      <c r="A381" t="s">
        <v>12</v>
      </c>
      <c r="B381" t="s">
        <v>18</v>
      </c>
      <c r="C381" t="s">
        <v>21</v>
      </c>
      <c r="D381" t="s">
        <v>32</v>
      </c>
      <c r="E381" s="1">
        <v>45044</v>
      </c>
      <c r="F381" s="3">
        <v>3000</v>
      </c>
      <c r="G381" s="3">
        <v>81000</v>
      </c>
      <c r="H381" s="3">
        <v>15.93</v>
      </c>
      <c r="I381" s="3">
        <v>98713.87</v>
      </c>
      <c r="J381" s="2">
        <f t="shared" si="5"/>
        <v>0.21868975308641969</v>
      </c>
    </row>
    <row r="382" spans="1:10" x14ac:dyDescent="0.35">
      <c r="A382" t="s">
        <v>9</v>
      </c>
      <c r="B382" t="s">
        <v>20</v>
      </c>
      <c r="C382" t="s">
        <v>29</v>
      </c>
      <c r="D382" t="s">
        <v>34</v>
      </c>
      <c r="E382" s="1">
        <v>44296</v>
      </c>
      <c r="F382" s="3">
        <v>3000</v>
      </c>
      <c r="G382" s="3">
        <v>156000</v>
      </c>
      <c r="H382" s="3">
        <v>18.62</v>
      </c>
      <c r="I382" s="3">
        <v>189003.76</v>
      </c>
      <c r="J382" s="2">
        <f t="shared" si="5"/>
        <v>0.21156256410256416</v>
      </c>
    </row>
    <row r="383" spans="1:10" x14ac:dyDescent="0.35">
      <c r="A383" t="s">
        <v>8</v>
      </c>
      <c r="B383" t="s">
        <v>18</v>
      </c>
      <c r="C383" t="s">
        <v>26</v>
      </c>
      <c r="D383" t="s">
        <v>35</v>
      </c>
      <c r="E383" s="1">
        <v>45244</v>
      </c>
      <c r="F383" s="3">
        <v>3000</v>
      </c>
      <c r="G383" s="3">
        <v>63000</v>
      </c>
      <c r="H383" s="3">
        <v>18.46</v>
      </c>
      <c r="I383" s="3">
        <v>58182.86</v>
      </c>
      <c r="J383" s="2">
        <f t="shared" si="5"/>
        <v>-7.6462539682539674E-2</v>
      </c>
    </row>
    <row r="384" spans="1:10" x14ac:dyDescent="0.35">
      <c r="A384" t="s">
        <v>13</v>
      </c>
      <c r="B384" t="s">
        <v>19</v>
      </c>
      <c r="C384" t="s">
        <v>26</v>
      </c>
      <c r="D384" t="s">
        <v>35</v>
      </c>
      <c r="E384" s="1">
        <v>44059</v>
      </c>
      <c r="F384" s="3">
        <v>500</v>
      </c>
      <c r="G384" s="3">
        <v>30000</v>
      </c>
      <c r="H384" s="3">
        <v>19.62</v>
      </c>
      <c r="I384" s="3">
        <v>46033.37</v>
      </c>
      <c r="J384" s="2">
        <f t="shared" si="5"/>
        <v>0.53444566666666671</v>
      </c>
    </row>
    <row r="385" spans="1:10" x14ac:dyDescent="0.35">
      <c r="A385" t="s">
        <v>14</v>
      </c>
      <c r="B385" t="s">
        <v>17</v>
      </c>
      <c r="C385" t="s">
        <v>28</v>
      </c>
      <c r="D385" t="s">
        <v>32</v>
      </c>
      <c r="E385" s="1">
        <v>43861</v>
      </c>
      <c r="F385" s="3">
        <v>500</v>
      </c>
      <c r="G385" s="3">
        <v>33500</v>
      </c>
      <c r="H385" s="3">
        <v>36.69</v>
      </c>
      <c r="I385" s="3">
        <v>36340.99</v>
      </c>
      <c r="J385" s="2">
        <f t="shared" si="5"/>
        <v>8.4805671641790981E-2</v>
      </c>
    </row>
    <row r="386" spans="1:10" x14ac:dyDescent="0.35">
      <c r="A386" t="s">
        <v>14</v>
      </c>
      <c r="B386" t="s">
        <v>18</v>
      </c>
      <c r="C386" t="s">
        <v>24</v>
      </c>
      <c r="D386" t="s">
        <v>31</v>
      </c>
      <c r="E386" s="1">
        <v>44017</v>
      </c>
      <c r="F386" s="3">
        <v>1500</v>
      </c>
      <c r="G386" s="3">
        <v>91500</v>
      </c>
      <c r="H386" s="3">
        <v>40.89</v>
      </c>
      <c r="I386" s="3">
        <v>113875.46</v>
      </c>
      <c r="J386" s="2">
        <f t="shared" si="5"/>
        <v>0.24454054644808751</v>
      </c>
    </row>
    <row r="387" spans="1:10" x14ac:dyDescent="0.35">
      <c r="A387" t="s">
        <v>12</v>
      </c>
      <c r="B387" t="s">
        <v>20</v>
      </c>
      <c r="C387" t="s">
        <v>21</v>
      </c>
      <c r="D387" t="s">
        <v>32</v>
      </c>
      <c r="E387" s="1">
        <v>44906</v>
      </c>
      <c r="F387" s="3">
        <v>1500</v>
      </c>
      <c r="G387" s="3">
        <v>48000</v>
      </c>
      <c r="H387" s="3">
        <v>34.32</v>
      </c>
      <c r="I387" s="3">
        <v>72679.490000000005</v>
      </c>
      <c r="J387" s="2">
        <f t="shared" ref="J387:J450" si="6">(I387-G387)/G387</f>
        <v>0.51415604166666673</v>
      </c>
    </row>
    <row r="388" spans="1:10" x14ac:dyDescent="0.35">
      <c r="A388" t="s">
        <v>13</v>
      </c>
      <c r="B388" t="s">
        <v>17</v>
      </c>
      <c r="C388" t="s">
        <v>26</v>
      </c>
      <c r="D388" t="s">
        <v>34</v>
      </c>
      <c r="E388" s="1">
        <v>44868</v>
      </c>
      <c r="F388" s="3">
        <v>3000</v>
      </c>
      <c r="G388" s="3">
        <v>99000</v>
      </c>
      <c r="H388" s="3">
        <v>35.32</v>
      </c>
      <c r="I388" s="3">
        <v>91093.68</v>
      </c>
      <c r="J388" s="2">
        <f t="shared" si="6"/>
        <v>-7.9861818181818256E-2</v>
      </c>
    </row>
    <row r="389" spans="1:10" x14ac:dyDescent="0.35">
      <c r="A389" t="s">
        <v>9</v>
      </c>
      <c r="B389" t="s">
        <v>19</v>
      </c>
      <c r="C389" t="s">
        <v>23</v>
      </c>
      <c r="D389" t="s">
        <v>31</v>
      </c>
      <c r="E389" s="1">
        <v>44893</v>
      </c>
      <c r="F389" s="3">
        <v>1000</v>
      </c>
      <c r="G389" s="3">
        <v>32000</v>
      </c>
      <c r="H389" s="3">
        <v>26.7</v>
      </c>
      <c r="I389" s="3">
        <v>34963.53</v>
      </c>
      <c r="J389" s="2">
        <f t="shared" si="6"/>
        <v>9.2610312499999958E-2</v>
      </c>
    </row>
    <row r="390" spans="1:10" x14ac:dyDescent="0.35">
      <c r="A390" t="s">
        <v>14</v>
      </c>
      <c r="B390" t="s">
        <v>18</v>
      </c>
      <c r="C390" t="s">
        <v>24</v>
      </c>
      <c r="D390" t="s">
        <v>31</v>
      </c>
      <c r="E390" s="1">
        <v>43890</v>
      </c>
      <c r="F390" s="3">
        <v>1000</v>
      </c>
      <c r="G390" s="3">
        <v>66000</v>
      </c>
      <c r="H390" s="3">
        <v>47.52</v>
      </c>
      <c r="I390" s="3">
        <v>95813.35</v>
      </c>
      <c r="J390" s="2">
        <f t="shared" si="6"/>
        <v>0.45171742424242434</v>
      </c>
    </row>
    <row r="391" spans="1:10" x14ac:dyDescent="0.35">
      <c r="A391" t="s">
        <v>11</v>
      </c>
      <c r="B391" t="s">
        <v>18</v>
      </c>
      <c r="C391" t="s">
        <v>23</v>
      </c>
      <c r="D391" t="s">
        <v>31</v>
      </c>
      <c r="E391" s="1">
        <v>44201</v>
      </c>
      <c r="F391" s="3">
        <v>3000</v>
      </c>
      <c r="G391" s="3">
        <v>165000</v>
      </c>
      <c r="H391" s="3">
        <v>30.54</v>
      </c>
      <c r="I391" s="3">
        <v>257397.21</v>
      </c>
      <c r="J391" s="2">
        <f t="shared" si="6"/>
        <v>0.55998309090909082</v>
      </c>
    </row>
    <row r="392" spans="1:10" x14ac:dyDescent="0.35">
      <c r="A392" t="s">
        <v>8</v>
      </c>
      <c r="B392" t="s">
        <v>20</v>
      </c>
      <c r="C392" t="s">
        <v>29</v>
      </c>
      <c r="D392" t="s">
        <v>31</v>
      </c>
      <c r="E392" s="1">
        <v>44371</v>
      </c>
      <c r="F392" s="3">
        <v>2000</v>
      </c>
      <c r="G392" s="3">
        <v>100000</v>
      </c>
      <c r="H392" s="3">
        <v>24.46</v>
      </c>
      <c r="I392" s="3">
        <v>118355.92</v>
      </c>
      <c r="J392" s="2">
        <f t="shared" si="6"/>
        <v>0.18355919999999998</v>
      </c>
    </row>
    <row r="393" spans="1:10" x14ac:dyDescent="0.35">
      <c r="A393" t="s">
        <v>6</v>
      </c>
      <c r="B393" t="s">
        <v>16</v>
      </c>
      <c r="C393" t="s">
        <v>28</v>
      </c>
      <c r="D393" t="s">
        <v>33</v>
      </c>
      <c r="E393" s="1">
        <v>44226</v>
      </c>
      <c r="F393" s="3">
        <v>3000</v>
      </c>
      <c r="G393" s="3">
        <v>162000</v>
      </c>
      <c r="H393" s="3">
        <v>26.06</v>
      </c>
      <c r="I393" s="3">
        <v>237489.61</v>
      </c>
      <c r="J393" s="2">
        <f t="shared" si="6"/>
        <v>0.46598524691358018</v>
      </c>
    </row>
    <row r="394" spans="1:10" x14ac:dyDescent="0.35">
      <c r="A394" t="s">
        <v>9</v>
      </c>
      <c r="B394" t="s">
        <v>20</v>
      </c>
      <c r="C394" t="s">
        <v>21</v>
      </c>
      <c r="D394" t="s">
        <v>34</v>
      </c>
      <c r="E394" s="1">
        <v>44945</v>
      </c>
      <c r="F394" s="3">
        <v>3000</v>
      </c>
      <c r="G394" s="3">
        <v>90000</v>
      </c>
      <c r="H394" s="3">
        <v>41.64</v>
      </c>
      <c r="I394" s="3">
        <v>105047.92</v>
      </c>
      <c r="J394" s="2">
        <f t="shared" si="6"/>
        <v>0.1671991111111111</v>
      </c>
    </row>
    <row r="395" spans="1:10" x14ac:dyDescent="0.35">
      <c r="A395" t="s">
        <v>11</v>
      </c>
      <c r="B395" t="s">
        <v>16</v>
      </c>
      <c r="C395" t="s">
        <v>22</v>
      </c>
      <c r="D395" t="s">
        <v>33</v>
      </c>
      <c r="E395" s="1">
        <v>44981</v>
      </c>
      <c r="F395" s="3">
        <v>1000</v>
      </c>
      <c r="G395" s="3">
        <v>29000</v>
      </c>
      <c r="H395" s="3">
        <v>18.399999999999999</v>
      </c>
      <c r="I395" s="3">
        <v>34258.94</v>
      </c>
      <c r="J395" s="2">
        <f t="shared" si="6"/>
        <v>0.18134275862068974</v>
      </c>
    </row>
    <row r="396" spans="1:10" x14ac:dyDescent="0.35">
      <c r="A396" t="s">
        <v>8</v>
      </c>
      <c r="B396" t="s">
        <v>19</v>
      </c>
      <c r="C396" t="s">
        <v>21</v>
      </c>
      <c r="D396" t="s">
        <v>34</v>
      </c>
      <c r="E396" s="1">
        <v>44201</v>
      </c>
      <c r="F396" s="3">
        <v>1000</v>
      </c>
      <c r="G396" s="3">
        <v>55000</v>
      </c>
      <c r="H396" s="3">
        <v>42.81</v>
      </c>
      <c r="I396" s="3">
        <v>59769</v>
      </c>
      <c r="J396" s="2">
        <f t="shared" si="6"/>
        <v>8.6709090909090902E-2</v>
      </c>
    </row>
    <row r="397" spans="1:10" x14ac:dyDescent="0.35">
      <c r="A397" t="s">
        <v>9</v>
      </c>
      <c r="B397" t="s">
        <v>16</v>
      </c>
      <c r="C397" t="s">
        <v>30</v>
      </c>
      <c r="D397" t="s">
        <v>32</v>
      </c>
      <c r="E397" s="1">
        <v>44701</v>
      </c>
      <c r="F397" s="3">
        <v>1500</v>
      </c>
      <c r="G397" s="3">
        <v>58500</v>
      </c>
      <c r="H397" s="3">
        <v>33.049999999999997</v>
      </c>
      <c r="I397" s="3">
        <v>47664.800000000003</v>
      </c>
      <c r="J397" s="2">
        <f t="shared" si="6"/>
        <v>-0.18521709401709396</v>
      </c>
    </row>
    <row r="398" spans="1:10" x14ac:dyDescent="0.35">
      <c r="A398" t="s">
        <v>7</v>
      </c>
      <c r="B398" t="s">
        <v>18</v>
      </c>
      <c r="C398" t="s">
        <v>22</v>
      </c>
      <c r="D398" t="s">
        <v>35</v>
      </c>
      <c r="E398" s="1">
        <v>45179</v>
      </c>
      <c r="F398" s="3">
        <v>500</v>
      </c>
      <c r="G398" s="3">
        <v>11500</v>
      </c>
      <c r="H398" s="3">
        <v>26.94</v>
      </c>
      <c r="I398" s="3">
        <v>14285.37</v>
      </c>
      <c r="J398" s="2">
        <f t="shared" si="6"/>
        <v>0.24220608695652182</v>
      </c>
    </row>
    <row r="399" spans="1:10" x14ac:dyDescent="0.35">
      <c r="A399" t="s">
        <v>14</v>
      </c>
      <c r="B399" t="s">
        <v>20</v>
      </c>
      <c r="C399" t="s">
        <v>28</v>
      </c>
      <c r="D399" t="s">
        <v>36</v>
      </c>
      <c r="E399" s="1">
        <v>45010</v>
      </c>
      <c r="F399" s="3">
        <v>1500</v>
      </c>
      <c r="G399" s="3">
        <v>42000</v>
      </c>
      <c r="H399" s="3">
        <v>16.55</v>
      </c>
      <c r="I399" s="3">
        <v>33671.06</v>
      </c>
      <c r="J399" s="2">
        <f t="shared" si="6"/>
        <v>-0.19830809523809528</v>
      </c>
    </row>
    <row r="400" spans="1:10" x14ac:dyDescent="0.35">
      <c r="A400" t="s">
        <v>15</v>
      </c>
      <c r="B400" t="s">
        <v>16</v>
      </c>
      <c r="C400" t="s">
        <v>22</v>
      </c>
      <c r="D400" t="s">
        <v>31</v>
      </c>
      <c r="E400" s="1">
        <v>45079</v>
      </c>
      <c r="F400" s="3">
        <v>1000</v>
      </c>
      <c r="G400" s="3">
        <v>26000</v>
      </c>
      <c r="H400" s="3">
        <v>23.3</v>
      </c>
      <c r="I400" s="3">
        <v>31333.46</v>
      </c>
      <c r="J400" s="2">
        <f t="shared" si="6"/>
        <v>0.20513307692307689</v>
      </c>
    </row>
    <row r="401" spans="1:10" x14ac:dyDescent="0.35">
      <c r="A401" t="s">
        <v>9</v>
      </c>
      <c r="B401" t="s">
        <v>20</v>
      </c>
      <c r="C401" t="s">
        <v>27</v>
      </c>
      <c r="D401" t="s">
        <v>33</v>
      </c>
      <c r="E401" s="1">
        <v>45224</v>
      </c>
      <c r="F401" s="3">
        <v>1000</v>
      </c>
      <c r="G401" s="3">
        <v>21000</v>
      </c>
      <c r="H401" s="3">
        <v>69.790000000000006</v>
      </c>
      <c r="I401" s="3">
        <v>19242.97</v>
      </c>
      <c r="J401" s="2">
        <f t="shared" si="6"/>
        <v>-8.366809523809518E-2</v>
      </c>
    </row>
    <row r="402" spans="1:10" x14ac:dyDescent="0.35">
      <c r="A402" t="s">
        <v>9</v>
      </c>
      <c r="B402" t="s">
        <v>19</v>
      </c>
      <c r="C402" t="s">
        <v>29</v>
      </c>
      <c r="D402" t="s">
        <v>36</v>
      </c>
      <c r="E402" s="1">
        <v>44810</v>
      </c>
      <c r="F402" s="3">
        <v>2000</v>
      </c>
      <c r="G402" s="3">
        <v>70000</v>
      </c>
      <c r="H402" s="3">
        <v>12.66</v>
      </c>
      <c r="I402" s="3">
        <v>76670.53</v>
      </c>
      <c r="J402" s="2">
        <f t="shared" si="6"/>
        <v>9.5293285714285692E-2</v>
      </c>
    </row>
    <row r="403" spans="1:10" x14ac:dyDescent="0.35">
      <c r="A403" t="s">
        <v>12</v>
      </c>
      <c r="B403" t="s">
        <v>18</v>
      </c>
      <c r="C403" t="s">
        <v>27</v>
      </c>
      <c r="D403" t="s">
        <v>31</v>
      </c>
      <c r="E403" s="1">
        <v>44440</v>
      </c>
      <c r="F403" s="3">
        <v>1500</v>
      </c>
      <c r="G403" s="3">
        <v>70500</v>
      </c>
      <c r="H403" s="3">
        <v>16.53</v>
      </c>
      <c r="I403" s="3">
        <v>72158.09</v>
      </c>
      <c r="J403" s="2">
        <f t="shared" si="6"/>
        <v>2.3519007092198532E-2</v>
      </c>
    </row>
    <row r="404" spans="1:10" x14ac:dyDescent="0.35">
      <c r="A404" t="s">
        <v>15</v>
      </c>
      <c r="B404" t="s">
        <v>20</v>
      </c>
      <c r="C404" t="s">
        <v>22</v>
      </c>
      <c r="D404" t="s">
        <v>33</v>
      </c>
      <c r="E404" s="1">
        <v>44631</v>
      </c>
      <c r="F404" s="3">
        <v>1500</v>
      </c>
      <c r="G404" s="3">
        <v>61500</v>
      </c>
      <c r="H404" s="3">
        <v>38.44</v>
      </c>
      <c r="I404" s="3">
        <v>69089.289999999994</v>
      </c>
      <c r="J404" s="2">
        <f t="shared" si="6"/>
        <v>0.1234030894308942</v>
      </c>
    </row>
    <row r="405" spans="1:10" x14ac:dyDescent="0.35">
      <c r="A405" t="s">
        <v>8</v>
      </c>
      <c r="B405" t="s">
        <v>18</v>
      </c>
      <c r="C405" t="s">
        <v>27</v>
      </c>
      <c r="D405" t="s">
        <v>35</v>
      </c>
      <c r="E405" s="1">
        <v>44306</v>
      </c>
      <c r="F405" s="3">
        <v>1500</v>
      </c>
      <c r="G405" s="3">
        <v>78000</v>
      </c>
      <c r="H405" s="3">
        <v>36.049999999999997</v>
      </c>
      <c r="I405" s="3">
        <v>108974.51</v>
      </c>
      <c r="J405" s="2">
        <f t="shared" si="6"/>
        <v>0.39710910256410248</v>
      </c>
    </row>
    <row r="406" spans="1:10" x14ac:dyDescent="0.35">
      <c r="A406" t="s">
        <v>8</v>
      </c>
      <c r="B406" t="s">
        <v>17</v>
      </c>
      <c r="C406" t="s">
        <v>21</v>
      </c>
      <c r="D406" t="s">
        <v>32</v>
      </c>
      <c r="E406" s="1">
        <v>45100</v>
      </c>
      <c r="F406" s="3">
        <v>2000</v>
      </c>
      <c r="G406" s="3">
        <v>50000</v>
      </c>
      <c r="H406" s="3">
        <v>31.07</v>
      </c>
      <c r="I406" s="3">
        <v>54330.33</v>
      </c>
      <c r="J406" s="2">
        <f t="shared" si="6"/>
        <v>8.6606600000000034E-2</v>
      </c>
    </row>
    <row r="407" spans="1:10" x14ac:dyDescent="0.35">
      <c r="A407" t="s">
        <v>8</v>
      </c>
      <c r="B407" t="s">
        <v>19</v>
      </c>
      <c r="C407" t="s">
        <v>26</v>
      </c>
      <c r="D407" t="s">
        <v>32</v>
      </c>
      <c r="E407" s="1">
        <v>44930</v>
      </c>
      <c r="F407" s="3">
        <v>3000</v>
      </c>
      <c r="G407" s="3">
        <v>93000</v>
      </c>
      <c r="H407" s="3">
        <v>42.59</v>
      </c>
      <c r="I407" s="3">
        <v>75649.63</v>
      </c>
      <c r="J407" s="2">
        <f t="shared" si="6"/>
        <v>-0.18656311827956984</v>
      </c>
    </row>
    <row r="408" spans="1:10" x14ac:dyDescent="0.35">
      <c r="A408" t="s">
        <v>12</v>
      </c>
      <c r="B408" t="s">
        <v>20</v>
      </c>
      <c r="C408" t="s">
        <v>22</v>
      </c>
      <c r="D408" t="s">
        <v>34</v>
      </c>
      <c r="E408" s="1">
        <v>44174</v>
      </c>
      <c r="F408" s="3">
        <v>1000</v>
      </c>
      <c r="G408" s="3">
        <v>56000</v>
      </c>
      <c r="H408" s="3">
        <v>59.06</v>
      </c>
      <c r="I408" s="3">
        <v>75668.06</v>
      </c>
      <c r="J408" s="2">
        <f t="shared" si="6"/>
        <v>0.35121535714285712</v>
      </c>
    </row>
    <row r="409" spans="1:10" x14ac:dyDescent="0.35">
      <c r="A409" t="s">
        <v>6</v>
      </c>
      <c r="B409" t="s">
        <v>20</v>
      </c>
      <c r="C409" t="s">
        <v>28</v>
      </c>
      <c r="D409" t="s">
        <v>36</v>
      </c>
      <c r="E409" s="1">
        <v>44483</v>
      </c>
      <c r="F409" s="3">
        <v>1000</v>
      </c>
      <c r="G409" s="3">
        <v>46000</v>
      </c>
      <c r="H409" s="3">
        <v>61.8</v>
      </c>
      <c r="I409" s="3">
        <v>37699.15</v>
      </c>
      <c r="J409" s="2">
        <f t="shared" si="6"/>
        <v>-0.18045326086956517</v>
      </c>
    </row>
    <row r="410" spans="1:10" x14ac:dyDescent="0.35">
      <c r="A410" t="s">
        <v>7</v>
      </c>
      <c r="B410" t="s">
        <v>17</v>
      </c>
      <c r="C410" t="s">
        <v>29</v>
      </c>
      <c r="D410" t="s">
        <v>31</v>
      </c>
      <c r="E410" s="1">
        <v>44612</v>
      </c>
      <c r="F410" s="3">
        <v>2000</v>
      </c>
      <c r="G410" s="3">
        <v>84000</v>
      </c>
      <c r="H410" s="3">
        <v>66.459999999999994</v>
      </c>
      <c r="I410" s="3">
        <v>88616.73</v>
      </c>
      <c r="J410" s="2">
        <f t="shared" si="6"/>
        <v>5.496107142857138E-2</v>
      </c>
    </row>
    <row r="411" spans="1:10" x14ac:dyDescent="0.35">
      <c r="A411" t="s">
        <v>10</v>
      </c>
      <c r="B411" t="s">
        <v>18</v>
      </c>
      <c r="C411" t="s">
        <v>29</v>
      </c>
      <c r="D411" t="s">
        <v>31</v>
      </c>
      <c r="E411" s="1">
        <v>44108</v>
      </c>
      <c r="F411" s="3">
        <v>1500</v>
      </c>
      <c r="G411" s="3">
        <v>87000</v>
      </c>
      <c r="H411" s="3">
        <v>38.29</v>
      </c>
      <c r="I411" s="3">
        <v>124586.32</v>
      </c>
      <c r="J411" s="2">
        <f t="shared" si="6"/>
        <v>0.43202666666666673</v>
      </c>
    </row>
    <row r="412" spans="1:10" x14ac:dyDescent="0.35">
      <c r="A412" t="s">
        <v>12</v>
      </c>
      <c r="B412" t="s">
        <v>17</v>
      </c>
      <c r="C412" t="s">
        <v>21</v>
      </c>
      <c r="D412" t="s">
        <v>36</v>
      </c>
      <c r="E412" s="1">
        <v>44814</v>
      </c>
      <c r="F412" s="3">
        <v>3000</v>
      </c>
      <c r="G412" s="3">
        <v>105000</v>
      </c>
      <c r="H412" s="3">
        <v>21.7</v>
      </c>
      <c r="I412" s="3">
        <v>84369.77</v>
      </c>
      <c r="J412" s="2">
        <f t="shared" si="6"/>
        <v>-0.1964783809523809</v>
      </c>
    </row>
    <row r="413" spans="1:10" x14ac:dyDescent="0.35">
      <c r="A413" t="s">
        <v>7</v>
      </c>
      <c r="B413" t="s">
        <v>18</v>
      </c>
      <c r="C413" t="s">
        <v>29</v>
      </c>
      <c r="D413" t="s">
        <v>31</v>
      </c>
      <c r="E413" s="1">
        <v>44233</v>
      </c>
      <c r="F413" s="3">
        <v>1000</v>
      </c>
      <c r="G413" s="3">
        <v>54000</v>
      </c>
      <c r="H413" s="3">
        <v>24.9</v>
      </c>
      <c r="I413" s="3">
        <v>47998.91</v>
      </c>
      <c r="J413" s="2">
        <f t="shared" si="6"/>
        <v>-0.11113129629629623</v>
      </c>
    </row>
    <row r="414" spans="1:10" x14ac:dyDescent="0.35">
      <c r="A414" t="s">
        <v>13</v>
      </c>
      <c r="B414" t="s">
        <v>20</v>
      </c>
      <c r="C414" t="s">
        <v>29</v>
      </c>
      <c r="D414" t="s">
        <v>36</v>
      </c>
      <c r="E414" s="1">
        <v>45264</v>
      </c>
      <c r="F414" s="3">
        <v>500</v>
      </c>
      <c r="G414" s="3">
        <v>10000</v>
      </c>
      <c r="H414" s="3">
        <v>29.61</v>
      </c>
      <c r="I414" s="3">
        <v>15825.65</v>
      </c>
      <c r="J414" s="2">
        <f t="shared" si="6"/>
        <v>0.582565</v>
      </c>
    </row>
    <row r="415" spans="1:10" x14ac:dyDescent="0.35">
      <c r="A415" t="s">
        <v>8</v>
      </c>
      <c r="B415" t="s">
        <v>16</v>
      </c>
      <c r="C415" t="s">
        <v>24</v>
      </c>
      <c r="D415" t="s">
        <v>33</v>
      </c>
      <c r="E415" s="1">
        <v>44441</v>
      </c>
      <c r="F415" s="3">
        <v>3000</v>
      </c>
      <c r="G415" s="3">
        <v>141000</v>
      </c>
      <c r="H415" s="3">
        <v>65.25</v>
      </c>
      <c r="I415" s="3">
        <v>215082.71</v>
      </c>
      <c r="J415" s="2">
        <f t="shared" si="6"/>
        <v>0.52540929078014176</v>
      </c>
    </row>
    <row r="416" spans="1:10" x14ac:dyDescent="0.35">
      <c r="A416" t="s">
        <v>15</v>
      </c>
      <c r="B416" t="s">
        <v>16</v>
      </c>
      <c r="C416" t="s">
        <v>26</v>
      </c>
      <c r="D416" t="s">
        <v>33</v>
      </c>
      <c r="E416" s="1">
        <v>44682</v>
      </c>
      <c r="F416" s="3">
        <v>500</v>
      </c>
      <c r="G416" s="3">
        <v>19500</v>
      </c>
      <c r="H416" s="3">
        <v>52.67</v>
      </c>
      <c r="I416" s="3">
        <v>18266.52</v>
      </c>
      <c r="J416" s="2">
        <f t="shared" si="6"/>
        <v>-6.3255384615384588E-2</v>
      </c>
    </row>
    <row r="417" spans="1:10" x14ac:dyDescent="0.35">
      <c r="A417" t="s">
        <v>10</v>
      </c>
      <c r="B417" t="s">
        <v>17</v>
      </c>
      <c r="C417" t="s">
        <v>26</v>
      </c>
      <c r="D417" t="s">
        <v>34</v>
      </c>
      <c r="E417" s="1">
        <v>44379</v>
      </c>
      <c r="F417" s="3">
        <v>1000</v>
      </c>
      <c r="G417" s="3">
        <v>49000</v>
      </c>
      <c r="H417" s="3">
        <v>39.07</v>
      </c>
      <c r="I417" s="3">
        <v>57701.83</v>
      </c>
      <c r="J417" s="2">
        <f t="shared" si="6"/>
        <v>0.17758836734693881</v>
      </c>
    </row>
    <row r="418" spans="1:10" x14ac:dyDescent="0.35">
      <c r="A418" t="s">
        <v>8</v>
      </c>
      <c r="B418" t="s">
        <v>16</v>
      </c>
      <c r="C418" t="s">
        <v>21</v>
      </c>
      <c r="D418" t="s">
        <v>35</v>
      </c>
      <c r="E418" s="1">
        <v>44988</v>
      </c>
      <c r="F418" s="3">
        <v>1000</v>
      </c>
      <c r="G418" s="3">
        <v>29000</v>
      </c>
      <c r="H418" s="3">
        <v>22.33</v>
      </c>
      <c r="I418" s="3">
        <v>28589.119999999999</v>
      </c>
      <c r="J418" s="2">
        <f t="shared" si="6"/>
        <v>-1.4168275862069001E-2</v>
      </c>
    </row>
    <row r="419" spans="1:10" x14ac:dyDescent="0.35">
      <c r="A419" t="s">
        <v>8</v>
      </c>
      <c r="B419" t="s">
        <v>19</v>
      </c>
      <c r="C419" t="s">
        <v>30</v>
      </c>
      <c r="D419" t="s">
        <v>36</v>
      </c>
      <c r="E419" s="1">
        <v>44702</v>
      </c>
      <c r="F419" s="3">
        <v>2000</v>
      </c>
      <c r="G419" s="3">
        <v>78000</v>
      </c>
      <c r="H419" s="3">
        <v>33.19</v>
      </c>
      <c r="I419" s="3">
        <v>62620.98</v>
      </c>
      <c r="J419" s="2">
        <f t="shared" si="6"/>
        <v>-0.19716692307692305</v>
      </c>
    </row>
    <row r="420" spans="1:10" x14ac:dyDescent="0.35">
      <c r="A420" t="s">
        <v>6</v>
      </c>
      <c r="B420" t="s">
        <v>19</v>
      </c>
      <c r="C420" t="s">
        <v>30</v>
      </c>
      <c r="D420" t="s">
        <v>33</v>
      </c>
      <c r="E420" s="1">
        <v>44831</v>
      </c>
      <c r="F420" s="3">
        <v>3000</v>
      </c>
      <c r="G420" s="3">
        <v>102000</v>
      </c>
      <c r="H420" s="3">
        <v>17.510000000000002</v>
      </c>
      <c r="I420" s="3">
        <v>133885.63</v>
      </c>
      <c r="J420" s="2">
        <f t="shared" si="6"/>
        <v>0.31260421568627456</v>
      </c>
    </row>
    <row r="421" spans="1:10" x14ac:dyDescent="0.35">
      <c r="A421" t="s">
        <v>10</v>
      </c>
      <c r="B421" t="s">
        <v>18</v>
      </c>
      <c r="C421" t="s">
        <v>25</v>
      </c>
      <c r="D421" t="s">
        <v>35</v>
      </c>
      <c r="E421" s="1">
        <v>45279</v>
      </c>
      <c r="F421" s="3">
        <v>2000</v>
      </c>
      <c r="G421" s="3">
        <v>38000</v>
      </c>
      <c r="H421" s="3">
        <v>32.07</v>
      </c>
      <c r="I421" s="3">
        <v>37760.94</v>
      </c>
      <c r="J421" s="2">
        <f t="shared" si="6"/>
        <v>-6.2910526315788865E-3</v>
      </c>
    </row>
    <row r="422" spans="1:10" x14ac:dyDescent="0.35">
      <c r="A422" t="s">
        <v>6</v>
      </c>
      <c r="B422" t="s">
        <v>17</v>
      </c>
      <c r="C422" t="s">
        <v>29</v>
      </c>
      <c r="D422" t="s">
        <v>32</v>
      </c>
      <c r="E422" s="1">
        <v>44307</v>
      </c>
      <c r="F422" s="3">
        <v>2000</v>
      </c>
      <c r="G422" s="3">
        <v>104000</v>
      </c>
      <c r="H422" s="3">
        <v>52.76</v>
      </c>
      <c r="I422" s="3">
        <v>137043.76999999999</v>
      </c>
      <c r="J422" s="2">
        <f t="shared" si="6"/>
        <v>0.31772855769230757</v>
      </c>
    </row>
    <row r="423" spans="1:10" x14ac:dyDescent="0.35">
      <c r="A423" t="s">
        <v>12</v>
      </c>
      <c r="B423" t="s">
        <v>19</v>
      </c>
      <c r="C423" t="s">
        <v>23</v>
      </c>
      <c r="D423" t="s">
        <v>35</v>
      </c>
      <c r="E423" s="1">
        <v>45313</v>
      </c>
      <c r="F423" s="3">
        <v>3000</v>
      </c>
      <c r="G423" s="3">
        <v>54000</v>
      </c>
      <c r="H423" s="3">
        <v>30.25</v>
      </c>
      <c r="I423" s="3">
        <v>57861.14</v>
      </c>
      <c r="J423" s="2">
        <f t="shared" si="6"/>
        <v>7.1502592592592576E-2</v>
      </c>
    </row>
    <row r="424" spans="1:10" x14ac:dyDescent="0.35">
      <c r="A424" t="s">
        <v>8</v>
      </c>
      <c r="B424" t="s">
        <v>20</v>
      </c>
      <c r="C424" t="s">
        <v>29</v>
      </c>
      <c r="D424" t="s">
        <v>36</v>
      </c>
      <c r="E424" s="1">
        <v>44650</v>
      </c>
      <c r="F424" s="3">
        <v>3000</v>
      </c>
      <c r="G424" s="3">
        <v>120000</v>
      </c>
      <c r="H424" s="3">
        <v>14.17</v>
      </c>
      <c r="I424" s="3">
        <v>140982.74</v>
      </c>
      <c r="J424" s="2">
        <f t="shared" si="6"/>
        <v>0.17485616666666659</v>
      </c>
    </row>
    <row r="425" spans="1:10" x14ac:dyDescent="0.35">
      <c r="A425" t="s">
        <v>15</v>
      </c>
      <c r="B425" t="s">
        <v>20</v>
      </c>
      <c r="C425" t="s">
        <v>28</v>
      </c>
      <c r="D425" t="s">
        <v>36</v>
      </c>
      <c r="E425" s="1">
        <v>44172</v>
      </c>
      <c r="F425" s="3">
        <v>2000</v>
      </c>
      <c r="G425" s="3">
        <v>112000</v>
      </c>
      <c r="H425" s="3">
        <v>50.92</v>
      </c>
      <c r="I425" s="3">
        <v>111306.28</v>
      </c>
      <c r="J425" s="2">
        <f t="shared" si="6"/>
        <v>-6.193928571428582E-3</v>
      </c>
    </row>
    <row r="426" spans="1:10" x14ac:dyDescent="0.35">
      <c r="A426" t="s">
        <v>7</v>
      </c>
      <c r="B426" t="s">
        <v>18</v>
      </c>
      <c r="C426" t="s">
        <v>24</v>
      </c>
      <c r="D426" t="s">
        <v>34</v>
      </c>
      <c r="E426" s="1">
        <v>44229</v>
      </c>
      <c r="F426" s="3">
        <v>500</v>
      </c>
      <c r="G426" s="3">
        <v>27000</v>
      </c>
      <c r="H426" s="3">
        <v>30.76</v>
      </c>
      <c r="I426" s="3">
        <v>32998.629999999997</v>
      </c>
      <c r="J426" s="2">
        <f t="shared" si="6"/>
        <v>0.22217148148148139</v>
      </c>
    </row>
    <row r="427" spans="1:10" x14ac:dyDescent="0.35">
      <c r="A427" t="s">
        <v>13</v>
      </c>
      <c r="B427" t="s">
        <v>17</v>
      </c>
      <c r="C427" t="s">
        <v>23</v>
      </c>
      <c r="D427" t="s">
        <v>33</v>
      </c>
      <c r="E427" s="1">
        <v>45294</v>
      </c>
      <c r="F427" s="3">
        <v>2000</v>
      </c>
      <c r="G427" s="3">
        <v>38000</v>
      </c>
      <c r="H427" s="3">
        <v>16.059999999999999</v>
      </c>
      <c r="I427" s="3">
        <v>31691.66</v>
      </c>
      <c r="J427" s="2">
        <f t="shared" si="6"/>
        <v>-0.16600894736842106</v>
      </c>
    </row>
    <row r="428" spans="1:10" x14ac:dyDescent="0.35">
      <c r="A428" t="s">
        <v>8</v>
      </c>
      <c r="B428" t="s">
        <v>19</v>
      </c>
      <c r="C428" t="s">
        <v>24</v>
      </c>
      <c r="D428" t="s">
        <v>33</v>
      </c>
      <c r="E428" s="1">
        <v>45167</v>
      </c>
      <c r="F428" s="3">
        <v>1000</v>
      </c>
      <c r="G428" s="3">
        <v>23000</v>
      </c>
      <c r="H428" s="3">
        <v>41.55</v>
      </c>
      <c r="I428" s="3">
        <v>25171.63</v>
      </c>
      <c r="J428" s="2">
        <f t="shared" si="6"/>
        <v>9.4418695652173951E-2</v>
      </c>
    </row>
    <row r="429" spans="1:10" x14ac:dyDescent="0.35">
      <c r="A429" t="s">
        <v>9</v>
      </c>
      <c r="B429" t="s">
        <v>17</v>
      </c>
      <c r="C429" t="s">
        <v>30</v>
      </c>
      <c r="D429" t="s">
        <v>34</v>
      </c>
      <c r="E429" s="1">
        <v>44749</v>
      </c>
      <c r="F429" s="3">
        <v>500</v>
      </c>
      <c r="G429" s="3">
        <v>18500</v>
      </c>
      <c r="H429" s="3">
        <v>33.36</v>
      </c>
      <c r="I429" s="3">
        <v>26513.15</v>
      </c>
      <c r="J429" s="2">
        <f t="shared" si="6"/>
        <v>0.43314324324324333</v>
      </c>
    </row>
    <row r="430" spans="1:10" x14ac:dyDescent="0.35">
      <c r="A430" t="s">
        <v>12</v>
      </c>
      <c r="B430" t="s">
        <v>16</v>
      </c>
      <c r="C430" t="s">
        <v>23</v>
      </c>
      <c r="D430" t="s">
        <v>36</v>
      </c>
      <c r="E430" s="1">
        <v>44383</v>
      </c>
      <c r="F430" s="3">
        <v>500</v>
      </c>
      <c r="G430" s="3">
        <v>24500</v>
      </c>
      <c r="H430" s="3">
        <v>37.28</v>
      </c>
      <c r="I430" s="3">
        <v>30827.37</v>
      </c>
      <c r="J430" s="2">
        <f t="shared" si="6"/>
        <v>0.25825999999999993</v>
      </c>
    </row>
    <row r="431" spans="1:10" x14ac:dyDescent="0.35">
      <c r="A431" t="s">
        <v>12</v>
      </c>
      <c r="B431" t="s">
        <v>19</v>
      </c>
      <c r="C431" t="s">
        <v>24</v>
      </c>
      <c r="D431" t="s">
        <v>35</v>
      </c>
      <c r="E431" s="1">
        <v>44478</v>
      </c>
      <c r="F431" s="3">
        <v>3000</v>
      </c>
      <c r="G431" s="3">
        <v>138000</v>
      </c>
      <c r="H431" s="3">
        <v>13.45</v>
      </c>
      <c r="I431" s="3">
        <v>189959.11</v>
      </c>
      <c r="J431" s="2">
        <f t="shared" si="6"/>
        <v>0.37651528985507238</v>
      </c>
    </row>
    <row r="432" spans="1:10" x14ac:dyDescent="0.35">
      <c r="A432" t="s">
        <v>13</v>
      </c>
      <c r="B432" t="s">
        <v>18</v>
      </c>
      <c r="C432" t="s">
        <v>25</v>
      </c>
      <c r="D432" t="s">
        <v>32</v>
      </c>
      <c r="E432" s="1">
        <v>44148</v>
      </c>
      <c r="F432" s="3">
        <v>1000</v>
      </c>
      <c r="G432" s="3">
        <v>57000</v>
      </c>
      <c r="H432" s="3">
        <v>15.29</v>
      </c>
      <c r="I432" s="3">
        <v>81680.149999999994</v>
      </c>
      <c r="J432" s="2">
        <f t="shared" si="6"/>
        <v>0.43298508771929817</v>
      </c>
    </row>
    <row r="433" spans="1:10" x14ac:dyDescent="0.35">
      <c r="A433" t="s">
        <v>7</v>
      </c>
      <c r="B433" t="s">
        <v>16</v>
      </c>
      <c r="C433" t="s">
        <v>23</v>
      </c>
      <c r="D433" t="s">
        <v>33</v>
      </c>
      <c r="E433" s="1">
        <v>44873</v>
      </c>
      <c r="F433" s="3">
        <v>1500</v>
      </c>
      <c r="G433" s="3">
        <v>49500</v>
      </c>
      <c r="H433" s="3">
        <v>54.72</v>
      </c>
      <c r="I433" s="3">
        <v>71921.81</v>
      </c>
      <c r="J433" s="2">
        <f t="shared" si="6"/>
        <v>0.45296585858585853</v>
      </c>
    </row>
    <row r="434" spans="1:10" x14ac:dyDescent="0.35">
      <c r="A434" t="s">
        <v>11</v>
      </c>
      <c r="B434" t="s">
        <v>17</v>
      </c>
      <c r="C434" t="s">
        <v>21</v>
      </c>
      <c r="D434" t="s">
        <v>35</v>
      </c>
      <c r="E434" s="1">
        <v>44613</v>
      </c>
      <c r="F434" s="3">
        <v>500</v>
      </c>
      <c r="G434" s="3">
        <v>21000</v>
      </c>
      <c r="H434" s="3">
        <v>48.87</v>
      </c>
      <c r="I434" s="3">
        <v>17738.849999999999</v>
      </c>
      <c r="J434" s="2">
        <f t="shared" si="6"/>
        <v>-0.1552928571428572</v>
      </c>
    </row>
    <row r="435" spans="1:10" x14ac:dyDescent="0.35">
      <c r="A435" t="s">
        <v>7</v>
      </c>
      <c r="B435" t="s">
        <v>17</v>
      </c>
      <c r="C435" t="s">
        <v>26</v>
      </c>
      <c r="D435" t="s">
        <v>36</v>
      </c>
      <c r="E435" s="1">
        <v>44429</v>
      </c>
      <c r="F435" s="3">
        <v>3000</v>
      </c>
      <c r="G435" s="3">
        <v>144000</v>
      </c>
      <c r="H435" s="3">
        <v>19.05</v>
      </c>
      <c r="I435" s="3">
        <v>181254.5</v>
      </c>
      <c r="J435" s="2">
        <f t="shared" si="6"/>
        <v>0.25871180555555556</v>
      </c>
    </row>
    <row r="436" spans="1:10" x14ac:dyDescent="0.35">
      <c r="A436" t="s">
        <v>6</v>
      </c>
      <c r="B436" t="s">
        <v>19</v>
      </c>
      <c r="C436" t="s">
        <v>28</v>
      </c>
      <c r="D436" t="s">
        <v>34</v>
      </c>
      <c r="E436" s="1">
        <v>44584</v>
      </c>
      <c r="F436" s="3">
        <v>3000</v>
      </c>
      <c r="G436" s="3">
        <v>129000</v>
      </c>
      <c r="H436" s="3">
        <v>40.03</v>
      </c>
      <c r="I436" s="3">
        <v>107194.36</v>
      </c>
      <c r="J436" s="2">
        <f t="shared" si="6"/>
        <v>-0.16903596899224807</v>
      </c>
    </row>
    <row r="437" spans="1:10" x14ac:dyDescent="0.35">
      <c r="A437" t="s">
        <v>6</v>
      </c>
      <c r="B437" t="s">
        <v>18</v>
      </c>
      <c r="C437" t="s">
        <v>24</v>
      </c>
      <c r="D437" t="s">
        <v>36</v>
      </c>
      <c r="E437" s="1">
        <v>44285</v>
      </c>
      <c r="F437" s="3">
        <v>1500</v>
      </c>
      <c r="G437" s="3">
        <v>78000</v>
      </c>
      <c r="H437" s="3">
        <v>58.13</v>
      </c>
      <c r="I437" s="3">
        <v>94487.03</v>
      </c>
      <c r="J437" s="2">
        <f t="shared" si="6"/>
        <v>0.21137217948717948</v>
      </c>
    </row>
    <row r="438" spans="1:10" x14ac:dyDescent="0.35">
      <c r="A438" t="s">
        <v>13</v>
      </c>
      <c r="B438" t="s">
        <v>16</v>
      </c>
      <c r="C438" t="s">
        <v>26</v>
      </c>
      <c r="D438" t="s">
        <v>36</v>
      </c>
      <c r="E438" s="1">
        <v>44630</v>
      </c>
      <c r="F438" s="3">
        <v>1500</v>
      </c>
      <c r="G438" s="3">
        <v>61500</v>
      </c>
      <c r="H438" s="3">
        <v>67.81</v>
      </c>
      <c r="I438" s="3">
        <v>57592.1</v>
      </c>
      <c r="J438" s="2">
        <f t="shared" si="6"/>
        <v>-6.3543089430894331E-2</v>
      </c>
    </row>
    <row r="439" spans="1:10" x14ac:dyDescent="0.35">
      <c r="A439" t="s">
        <v>11</v>
      </c>
      <c r="B439" t="s">
        <v>19</v>
      </c>
      <c r="C439" t="s">
        <v>26</v>
      </c>
      <c r="D439" t="s">
        <v>32</v>
      </c>
      <c r="E439" s="1">
        <v>45025</v>
      </c>
      <c r="F439" s="3">
        <v>2000</v>
      </c>
      <c r="G439" s="3">
        <v>56000</v>
      </c>
      <c r="H439" s="3">
        <v>63.7</v>
      </c>
      <c r="I439" s="3">
        <v>83010.820000000007</v>
      </c>
      <c r="J439" s="2">
        <f t="shared" si="6"/>
        <v>0.48233607142857154</v>
      </c>
    </row>
    <row r="440" spans="1:10" x14ac:dyDescent="0.35">
      <c r="A440" t="s">
        <v>10</v>
      </c>
      <c r="B440" t="s">
        <v>18</v>
      </c>
      <c r="C440" t="s">
        <v>27</v>
      </c>
      <c r="D440" t="s">
        <v>35</v>
      </c>
      <c r="E440" s="1">
        <v>43859</v>
      </c>
      <c r="F440" s="3">
        <v>1500</v>
      </c>
      <c r="G440" s="3">
        <v>100500</v>
      </c>
      <c r="H440" s="3">
        <v>45.28</v>
      </c>
      <c r="I440" s="3">
        <v>109114.46</v>
      </c>
      <c r="J440" s="2">
        <f t="shared" si="6"/>
        <v>8.571601990049757E-2</v>
      </c>
    </row>
    <row r="441" spans="1:10" x14ac:dyDescent="0.35">
      <c r="A441" t="s">
        <v>7</v>
      </c>
      <c r="B441" t="s">
        <v>19</v>
      </c>
      <c r="C441" t="s">
        <v>22</v>
      </c>
      <c r="D441" t="s">
        <v>31</v>
      </c>
      <c r="E441" s="1">
        <v>43908</v>
      </c>
      <c r="F441" s="3">
        <v>1500</v>
      </c>
      <c r="G441" s="3">
        <v>97500</v>
      </c>
      <c r="H441" s="3">
        <v>46.75</v>
      </c>
      <c r="I441" s="3">
        <v>92312.07</v>
      </c>
      <c r="J441" s="2">
        <f t="shared" si="6"/>
        <v>-5.3209538461538392E-2</v>
      </c>
    </row>
    <row r="442" spans="1:10" x14ac:dyDescent="0.35">
      <c r="A442" t="s">
        <v>7</v>
      </c>
      <c r="B442" t="s">
        <v>16</v>
      </c>
      <c r="C442" t="s">
        <v>25</v>
      </c>
      <c r="D442" t="s">
        <v>32</v>
      </c>
      <c r="E442" s="1">
        <v>44465</v>
      </c>
      <c r="F442" s="3">
        <v>1000</v>
      </c>
      <c r="G442" s="3">
        <v>46000</v>
      </c>
      <c r="H442" s="3">
        <v>44.44</v>
      </c>
      <c r="I442" s="3">
        <v>48034.82</v>
      </c>
      <c r="J442" s="2">
        <f t="shared" si="6"/>
        <v>4.4235217391304343E-2</v>
      </c>
    </row>
    <row r="443" spans="1:10" x14ac:dyDescent="0.35">
      <c r="A443" t="s">
        <v>8</v>
      </c>
      <c r="B443" t="s">
        <v>20</v>
      </c>
      <c r="C443" t="s">
        <v>25</v>
      </c>
      <c r="D443" t="s">
        <v>32</v>
      </c>
      <c r="E443" s="1">
        <v>45073</v>
      </c>
      <c r="F443" s="3">
        <v>500</v>
      </c>
      <c r="G443" s="3">
        <v>13000</v>
      </c>
      <c r="H443" s="3">
        <v>27.39</v>
      </c>
      <c r="I443" s="3">
        <v>12377.52</v>
      </c>
      <c r="J443" s="2">
        <f t="shared" si="6"/>
        <v>-4.7883076923076889E-2</v>
      </c>
    </row>
    <row r="444" spans="1:10" x14ac:dyDescent="0.35">
      <c r="A444" t="s">
        <v>15</v>
      </c>
      <c r="B444" t="s">
        <v>19</v>
      </c>
      <c r="C444" t="s">
        <v>24</v>
      </c>
      <c r="D444" t="s">
        <v>36</v>
      </c>
      <c r="E444" s="1">
        <v>44951</v>
      </c>
      <c r="F444" s="3">
        <v>2000</v>
      </c>
      <c r="G444" s="3">
        <v>60000</v>
      </c>
      <c r="H444" s="3">
        <v>15.51</v>
      </c>
      <c r="I444" s="3">
        <v>94309.4</v>
      </c>
      <c r="J444" s="2">
        <f t="shared" si="6"/>
        <v>0.57182333333333324</v>
      </c>
    </row>
    <row r="445" spans="1:10" x14ac:dyDescent="0.35">
      <c r="A445" t="s">
        <v>6</v>
      </c>
      <c r="B445" t="s">
        <v>18</v>
      </c>
      <c r="C445" t="s">
        <v>30</v>
      </c>
      <c r="D445" t="s">
        <v>33</v>
      </c>
      <c r="E445" s="1">
        <v>44161</v>
      </c>
      <c r="F445" s="3">
        <v>1500</v>
      </c>
      <c r="G445" s="3">
        <v>85500</v>
      </c>
      <c r="H445" s="3">
        <v>48.66</v>
      </c>
      <c r="I445" s="3">
        <v>132686.48000000001</v>
      </c>
      <c r="J445" s="2">
        <f t="shared" si="6"/>
        <v>0.55188865497076034</v>
      </c>
    </row>
    <row r="446" spans="1:10" x14ac:dyDescent="0.35">
      <c r="A446" t="s">
        <v>6</v>
      </c>
      <c r="B446" t="s">
        <v>18</v>
      </c>
      <c r="C446" t="s">
        <v>25</v>
      </c>
      <c r="D446" t="s">
        <v>32</v>
      </c>
      <c r="E446" s="1">
        <v>44730</v>
      </c>
      <c r="F446" s="3">
        <v>1000</v>
      </c>
      <c r="G446" s="3">
        <v>38000</v>
      </c>
      <c r="H446" s="3">
        <v>27.18</v>
      </c>
      <c r="I446" s="3">
        <v>45398.7</v>
      </c>
      <c r="J446" s="2">
        <f t="shared" si="6"/>
        <v>0.19470263157894729</v>
      </c>
    </row>
    <row r="447" spans="1:10" x14ac:dyDescent="0.35">
      <c r="A447" t="s">
        <v>14</v>
      </c>
      <c r="B447" t="s">
        <v>20</v>
      </c>
      <c r="C447" t="s">
        <v>29</v>
      </c>
      <c r="D447" t="s">
        <v>34</v>
      </c>
      <c r="E447" s="1">
        <v>45254</v>
      </c>
      <c r="F447" s="3">
        <v>1500</v>
      </c>
      <c r="G447" s="3">
        <v>30000</v>
      </c>
      <c r="H447" s="3">
        <v>69.599999999999994</v>
      </c>
      <c r="I447" s="3">
        <v>44569.3</v>
      </c>
      <c r="J447" s="2">
        <f t="shared" si="6"/>
        <v>0.48564333333333343</v>
      </c>
    </row>
    <row r="448" spans="1:10" x14ac:dyDescent="0.35">
      <c r="A448" t="s">
        <v>10</v>
      </c>
      <c r="B448" t="s">
        <v>16</v>
      </c>
      <c r="C448" t="s">
        <v>28</v>
      </c>
      <c r="D448" t="s">
        <v>35</v>
      </c>
      <c r="E448" s="1">
        <v>44534</v>
      </c>
      <c r="F448" s="3">
        <v>1500</v>
      </c>
      <c r="G448" s="3">
        <v>66000</v>
      </c>
      <c r="H448" s="3">
        <v>43.23</v>
      </c>
      <c r="I448" s="3">
        <v>59444.84</v>
      </c>
      <c r="J448" s="2">
        <f t="shared" si="6"/>
        <v>-9.9320606060606109E-2</v>
      </c>
    </row>
    <row r="449" spans="1:10" x14ac:dyDescent="0.35">
      <c r="A449" t="s">
        <v>14</v>
      </c>
      <c r="B449" t="s">
        <v>16</v>
      </c>
      <c r="C449" t="s">
        <v>30</v>
      </c>
      <c r="D449" t="s">
        <v>35</v>
      </c>
      <c r="E449" s="1">
        <v>44871</v>
      </c>
      <c r="F449" s="3">
        <v>500</v>
      </c>
      <c r="G449" s="3">
        <v>16500</v>
      </c>
      <c r="H449" s="3">
        <v>43.34</v>
      </c>
      <c r="I449" s="3">
        <v>21139.15</v>
      </c>
      <c r="J449" s="2">
        <f t="shared" si="6"/>
        <v>0.28116060606060617</v>
      </c>
    </row>
    <row r="450" spans="1:10" x14ac:dyDescent="0.35">
      <c r="A450" t="s">
        <v>12</v>
      </c>
      <c r="B450" t="s">
        <v>20</v>
      </c>
      <c r="C450" t="s">
        <v>24</v>
      </c>
      <c r="D450" t="s">
        <v>33</v>
      </c>
      <c r="E450" s="1">
        <v>44268</v>
      </c>
      <c r="F450" s="3">
        <v>1000</v>
      </c>
      <c r="G450" s="3">
        <v>53000</v>
      </c>
      <c r="H450" s="3">
        <v>11.85</v>
      </c>
      <c r="I450" s="3">
        <v>78740.69</v>
      </c>
      <c r="J450" s="2">
        <f t="shared" si="6"/>
        <v>0.48567339622641514</v>
      </c>
    </row>
    <row r="451" spans="1:10" x14ac:dyDescent="0.35">
      <c r="A451" t="s">
        <v>7</v>
      </c>
      <c r="B451" t="s">
        <v>17</v>
      </c>
      <c r="C451" t="s">
        <v>24</v>
      </c>
      <c r="D451" t="s">
        <v>33</v>
      </c>
      <c r="E451" s="1">
        <v>43896</v>
      </c>
      <c r="F451" s="3">
        <v>2000</v>
      </c>
      <c r="G451" s="3">
        <v>130000</v>
      </c>
      <c r="H451" s="3">
        <v>67.349999999999994</v>
      </c>
      <c r="I451" s="3">
        <v>105886.31</v>
      </c>
      <c r="J451" s="2">
        <f t="shared" ref="J451:J514" si="7">(I451-G451)/G451</f>
        <v>-0.18548992307692311</v>
      </c>
    </row>
    <row r="452" spans="1:10" x14ac:dyDescent="0.35">
      <c r="A452" t="s">
        <v>9</v>
      </c>
      <c r="B452" t="s">
        <v>19</v>
      </c>
      <c r="C452" t="s">
        <v>28</v>
      </c>
      <c r="D452" t="s">
        <v>35</v>
      </c>
      <c r="E452" s="1">
        <v>44166</v>
      </c>
      <c r="F452" s="3">
        <v>500</v>
      </c>
      <c r="G452" s="3">
        <v>28000</v>
      </c>
      <c r="H452" s="3">
        <v>22.76</v>
      </c>
      <c r="I452" s="3">
        <v>42338.93</v>
      </c>
      <c r="J452" s="2">
        <f t="shared" si="7"/>
        <v>0.51210464285714286</v>
      </c>
    </row>
    <row r="453" spans="1:10" x14ac:dyDescent="0.35">
      <c r="A453" t="s">
        <v>7</v>
      </c>
      <c r="B453" t="s">
        <v>19</v>
      </c>
      <c r="C453" t="s">
        <v>28</v>
      </c>
      <c r="D453" t="s">
        <v>32</v>
      </c>
      <c r="E453" s="1">
        <v>44924</v>
      </c>
      <c r="F453" s="3">
        <v>3000</v>
      </c>
      <c r="G453" s="3">
        <v>93000</v>
      </c>
      <c r="H453" s="3">
        <v>66.33</v>
      </c>
      <c r="I453" s="3">
        <v>130753.05</v>
      </c>
      <c r="J453" s="2">
        <f t="shared" si="7"/>
        <v>0.40594677419354841</v>
      </c>
    </row>
    <row r="454" spans="1:10" x14ac:dyDescent="0.35">
      <c r="A454" t="s">
        <v>9</v>
      </c>
      <c r="B454" t="s">
        <v>18</v>
      </c>
      <c r="C454" t="s">
        <v>22</v>
      </c>
      <c r="D454" t="s">
        <v>33</v>
      </c>
      <c r="E454" s="1">
        <v>43989</v>
      </c>
      <c r="F454" s="3">
        <v>500</v>
      </c>
      <c r="G454" s="3">
        <v>31000</v>
      </c>
      <c r="H454" s="3">
        <v>25.43</v>
      </c>
      <c r="I454" s="3">
        <v>47506.38</v>
      </c>
      <c r="J454" s="2">
        <f t="shared" si="7"/>
        <v>0.53246387096774184</v>
      </c>
    </row>
    <row r="455" spans="1:10" x14ac:dyDescent="0.35">
      <c r="A455" t="s">
        <v>6</v>
      </c>
      <c r="B455" t="s">
        <v>17</v>
      </c>
      <c r="C455" t="s">
        <v>26</v>
      </c>
      <c r="D455" t="s">
        <v>31</v>
      </c>
      <c r="E455" s="1">
        <v>44738</v>
      </c>
      <c r="F455" s="3">
        <v>1000</v>
      </c>
      <c r="G455" s="3">
        <v>37000</v>
      </c>
      <c r="H455" s="3">
        <v>41.05</v>
      </c>
      <c r="I455" s="3">
        <v>50239.519999999997</v>
      </c>
      <c r="J455" s="2">
        <f t="shared" si="7"/>
        <v>0.35782486486486476</v>
      </c>
    </row>
    <row r="456" spans="1:10" x14ac:dyDescent="0.35">
      <c r="A456" t="s">
        <v>12</v>
      </c>
      <c r="B456" t="s">
        <v>19</v>
      </c>
      <c r="C456" t="s">
        <v>30</v>
      </c>
      <c r="D456" t="s">
        <v>34</v>
      </c>
      <c r="E456" s="1">
        <v>44323</v>
      </c>
      <c r="F456" s="3">
        <v>2000</v>
      </c>
      <c r="G456" s="3">
        <v>102000</v>
      </c>
      <c r="H456" s="3">
        <v>55.5</v>
      </c>
      <c r="I456" s="3">
        <v>148166.01999999999</v>
      </c>
      <c r="J456" s="2">
        <f t="shared" si="7"/>
        <v>0.45260803921568615</v>
      </c>
    </row>
    <row r="457" spans="1:10" x14ac:dyDescent="0.35">
      <c r="A457" t="s">
        <v>7</v>
      </c>
      <c r="B457" t="s">
        <v>17</v>
      </c>
      <c r="C457" t="s">
        <v>26</v>
      </c>
      <c r="D457" t="s">
        <v>34</v>
      </c>
      <c r="E457" s="1">
        <v>44593</v>
      </c>
      <c r="F457" s="3">
        <v>1500</v>
      </c>
      <c r="G457" s="3">
        <v>63000</v>
      </c>
      <c r="H457" s="3">
        <v>64.290000000000006</v>
      </c>
      <c r="I457" s="3">
        <v>89113.51</v>
      </c>
      <c r="J457" s="2">
        <f t="shared" si="7"/>
        <v>0.41450015873015866</v>
      </c>
    </row>
    <row r="458" spans="1:10" x14ac:dyDescent="0.35">
      <c r="A458" t="s">
        <v>9</v>
      </c>
      <c r="B458" t="s">
        <v>18</v>
      </c>
      <c r="C458" t="s">
        <v>21</v>
      </c>
      <c r="D458" t="s">
        <v>33</v>
      </c>
      <c r="E458" s="1">
        <v>44362</v>
      </c>
      <c r="F458" s="3">
        <v>1500</v>
      </c>
      <c r="G458" s="3">
        <v>75000</v>
      </c>
      <c r="H458" s="3">
        <v>56.69</v>
      </c>
      <c r="I458" s="3">
        <v>80985.47</v>
      </c>
      <c r="J458" s="2">
        <f t="shared" si="7"/>
        <v>7.9806266666666681E-2</v>
      </c>
    </row>
    <row r="459" spans="1:10" x14ac:dyDescent="0.35">
      <c r="A459" t="s">
        <v>13</v>
      </c>
      <c r="B459" t="s">
        <v>18</v>
      </c>
      <c r="C459" t="s">
        <v>22</v>
      </c>
      <c r="D459" t="s">
        <v>35</v>
      </c>
      <c r="E459" s="1">
        <v>44983</v>
      </c>
      <c r="F459" s="3">
        <v>500</v>
      </c>
      <c r="G459" s="3">
        <v>14500</v>
      </c>
      <c r="H459" s="3">
        <v>44.92</v>
      </c>
      <c r="I459" s="3">
        <v>13331.75</v>
      </c>
      <c r="J459" s="2">
        <f t="shared" si="7"/>
        <v>-8.0568965517241381E-2</v>
      </c>
    </row>
    <row r="460" spans="1:10" x14ac:dyDescent="0.35">
      <c r="A460" t="s">
        <v>11</v>
      </c>
      <c r="B460" t="s">
        <v>18</v>
      </c>
      <c r="C460" t="s">
        <v>30</v>
      </c>
      <c r="D460" t="s">
        <v>35</v>
      </c>
      <c r="E460" s="1">
        <v>44689</v>
      </c>
      <c r="F460" s="3">
        <v>1500</v>
      </c>
      <c r="G460" s="3">
        <v>58500</v>
      </c>
      <c r="H460" s="3">
        <v>20.39</v>
      </c>
      <c r="I460" s="3">
        <v>84523.38</v>
      </c>
      <c r="J460" s="2">
        <f t="shared" si="7"/>
        <v>0.44484410256410262</v>
      </c>
    </row>
    <row r="461" spans="1:10" x14ac:dyDescent="0.35">
      <c r="A461" t="s">
        <v>9</v>
      </c>
      <c r="B461" t="s">
        <v>16</v>
      </c>
      <c r="C461" t="s">
        <v>21</v>
      </c>
      <c r="D461" t="s">
        <v>36</v>
      </c>
      <c r="E461" s="1">
        <v>45321</v>
      </c>
      <c r="F461" s="3">
        <v>3000</v>
      </c>
      <c r="G461" s="3">
        <v>54000</v>
      </c>
      <c r="H461" s="3">
        <v>47.05</v>
      </c>
      <c r="I461" s="3">
        <v>64653.96</v>
      </c>
      <c r="J461" s="2">
        <f t="shared" si="7"/>
        <v>0.19729555555555553</v>
      </c>
    </row>
    <row r="462" spans="1:10" x14ac:dyDescent="0.35">
      <c r="A462" t="s">
        <v>7</v>
      </c>
      <c r="B462" t="s">
        <v>19</v>
      </c>
      <c r="C462" t="s">
        <v>28</v>
      </c>
      <c r="D462" t="s">
        <v>34</v>
      </c>
      <c r="E462" s="1">
        <v>45138</v>
      </c>
      <c r="F462" s="3">
        <v>2000</v>
      </c>
      <c r="G462" s="3">
        <v>48000</v>
      </c>
      <c r="H462" s="3">
        <v>48.33</v>
      </c>
      <c r="I462" s="3">
        <v>57618.9</v>
      </c>
      <c r="J462" s="2">
        <f t="shared" si="7"/>
        <v>0.20039375000000004</v>
      </c>
    </row>
    <row r="463" spans="1:10" x14ac:dyDescent="0.35">
      <c r="A463" t="s">
        <v>11</v>
      </c>
      <c r="B463" t="s">
        <v>16</v>
      </c>
      <c r="C463" t="s">
        <v>23</v>
      </c>
      <c r="D463" t="s">
        <v>33</v>
      </c>
      <c r="E463" s="1">
        <v>43983</v>
      </c>
      <c r="F463" s="3">
        <v>1500</v>
      </c>
      <c r="G463" s="3">
        <v>94500</v>
      </c>
      <c r="H463" s="3">
        <v>31.05</v>
      </c>
      <c r="I463" s="3">
        <v>126249.55</v>
      </c>
      <c r="J463" s="2">
        <f t="shared" si="7"/>
        <v>0.33597407407407409</v>
      </c>
    </row>
    <row r="464" spans="1:10" x14ac:dyDescent="0.35">
      <c r="A464" t="s">
        <v>14</v>
      </c>
      <c r="B464" t="s">
        <v>17</v>
      </c>
      <c r="C464" t="s">
        <v>21</v>
      </c>
      <c r="D464" t="s">
        <v>31</v>
      </c>
      <c r="E464" s="1">
        <v>45027</v>
      </c>
      <c r="F464" s="3">
        <v>500</v>
      </c>
      <c r="G464" s="3">
        <v>14000</v>
      </c>
      <c r="H464" s="3">
        <v>40.229999999999997</v>
      </c>
      <c r="I464" s="3">
        <v>12725.5</v>
      </c>
      <c r="J464" s="2">
        <f t="shared" si="7"/>
        <v>-9.1035714285714289E-2</v>
      </c>
    </row>
    <row r="465" spans="1:10" x14ac:dyDescent="0.35">
      <c r="A465" t="s">
        <v>15</v>
      </c>
      <c r="B465" t="s">
        <v>17</v>
      </c>
      <c r="C465" t="s">
        <v>24</v>
      </c>
      <c r="D465" t="s">
        <v>33</v>
      </c>
      <c r="E465" s="1">
        <v>44535</v>
      </c>
      <c r="F465" s="3">
        <v>500</v>
      </c>
      <c r="G465" s="3">
        <v>22000</v>
      </c>
      <c r="H465" s="3">
        <v>69.260000000000005</v>
      </c>
      <c r="I465" s="3">
        <v>25646.91</v>
      </c>
      <c r="J465" s="2">
        <f t="shared" si="7"/>
        <v>0.16576863636363637</v>
      </c>
    </row>
    <row r="466" spans="1:10" x14ac:dyDescent="0.35">
      <c r="A466" t="s">
        <v>6</v>
      </c>
      <c r="B466" t="s">
        <v>19</v>
      </c>
      <c r="C466" t="s">
        <v>27</v>
      </c>
      <c r="D466" t="s">
        <v>35</v>
      </c>
      <c r="E466" s="1">
        <v>44250</v>
      </c>
      <c r="F466" s="3">
        <v>3000</v>
      </c>
      <c r="G466" s="3">
        <v>162000</v>
      </c>
      <c r="H466" s="3">
        <v>45.47</v>
      </c>
      <c r="I466" s="3">
        <v>227368.77</v>
      </c>
      <c r="J466" s="2">
        <f t="shared" si="7"/>
        <v>0.40351092592592586</v>
      </c>
    </row>
    <row r="467" spans="1:10" x14ac:dyDescent="0.35">
      <c r="A467" t="s">
        <v>8</v>
      </c>
      <c r="B467" t="s">
        <v>18</v>
      </c>
      <c r="C467" t="s">
        <v>29</v>
      </c>
      <c r="D467" t="s">
        <v>34</v>
      </c>
      <c r="E467" s="1">
        <v>45051</v>
      </c>
      <c r="F467" s="3">
        <v>3000</v>
      </c>
      <c r="G467" s="3">
        <v>81000</v>
      </c>
      <c r="H467" s="3">
        <v>17.510000000000002</v>
      </c>
      <c r="I467" s="3">
        <v>86657.98</v>
      </c>
      <c r="J467" s="2">
        <f t="shared" si="7"/>
        <v>6.9851604938271555E-2</v>
      </c>
    </row>
    <row r="468" spans="1:10" x14ac:dyDescent="0.35">
      <c r="A468" t="s">
        <v>6</v>
      </c>
      <c r="B468" t="s">
        <v>20</v>
      </c>
      <c r="C468" t="s">
        <v>23</v>
      </c>
      <c r="D468" t="s">
        <v>36</v>
      </c>
      <c r="E468" s="1">
        <v>43922</v>
      </c>
      <c r="F468" s="3">
        <v>500</v>
      </c>
      <c r="G468" s="3">
        <v>32500</v>
      </c>
      <c r="H468" s="3">
        <v>42.5</v>
      </c>
      <c r="I468" s="3">
        <v>46964.11</v>
      </c>
      <c r="J468" s="2">
        <f t="shared" si="7"/>
        <v>0.4450495384615385</v>
      </c>
    </row>
    <row r="469" spans="1:10" x14ac:dyDescent="0.35">
      <c r="A469" t="s">
        <v>7</v>
      </c>
      <c r="B469" t="s">
        <v>19</v>
      </c>
      <c r="C469" t="s">
        <v>29</v>
      </c>
      <c r="D469" t="s">
        <v>35</v>
      </c>
      <c r="E469" s="1">
        <v>44198</v>
      </c>
      <c r="F469" s="3">
        <v>3000</v>
      </c>
      <c r="G469" s="3">
        <v>165000</v>
      </c>
      <c r="H469" s="3">
        <v>58.26</v>
      </c>
      <c r="I469" s="3">
        <v>218452.26</v>
      </c>
      <c r="J469" s="2">
        <f t="shared" si="7"/>
        <v>0.32395309090909097</v>
      </c>
    </row>
    <row r="470" spans="1:10" x14ac:dyDescent="0.35">
      <c r="A470" t="s">
        <v>14</v>
      </c>
      <c r="B470" t="s">
        <v>17</v>
      </c>
      <c r="C470" t="s">
        <v>21</v>
      </c>
      <c r="D470" t="s">
        <v>35</v>
      </c>
      <c r="E470" s="1">
        <v>44096</v>
      </c>
      <c r="F470" s="3">
        <v>1500</v>
      </c>
      <c r="G470" s="3">
        <v>88500</v>
      </c>
      <c r="H470" s="3">
        <v>25.62</v>
      </c>
      <c r="I470" s="3">
        <v>106798.09</v>
      </c>
      <c r="J470" s="2">
        <f t="shared" si="7"/>
        <v>0.20675807909604516</v>
      </c>
    </row>
    <row r="471" spans="1:10" x14ac:dyDescent="0.35">
      <c r="A471" t="s">
        <v>11</v>
      </c>
      <c r="B471" t="s">
        <v>19</v>
      </c>
      <c r="C471" t="s">
        <v>22</v>
      </c>
      <c r="D471" t="s">
        <v>36</v>
      </c>
      <c r="E471" s="1">
        <v>44552</v>
      </c>
      <c r="F471" s="3">
        <v>1000</v>
      </c>
      <c r="G471" s="3">
        <v>44000</v>
      </c>
      <c r="H471" s="3">
        <v>38.42</v>
      </c>
      <c r="I471" s="3">
        <v>45834.59</v>
      </c>
      <c r="J471" s="2">
        <f t="shared" si="7"/>
        <v>4.1695227272727196E-2</v>
      </c>
    </row>
    <row r="472" spans="1:10" x14ac:dyDescent="0.35">
      <c r="A472" t="s">
        <v>8</v>
      </c>
      <c r="B472" t="s">
        <v>19</v>
      </c>
      <c r="C472" t="s">
        <v>27</v>
      </c>
      <c r="D472" t="s">
        <v>35</v>
      </c>
      <c r="E472" s="1">
        <v>43947</v>
      </c>
      <c r="F472" s="3">
        <v>2000</v>
      </c>
      <c r="G472" s="3">
        <v>128000</v>
      </c>
      <c r="H472" s="3">
        <v>30.7</v>
      </c>
      <c r="I472" s="3">
        <v>155883.65</v>
      </c>
      <c r="J472" s="2">
        <f t="shared" si="7"/>
        <v>0.21784101562499997</v>
      </c>
    </row>
    <row r="473" spans="1:10" x14ac:dyDescent="0.35">
      <c r="A473" t="s">
        <v>14</v>
      </c>
      <c r="B473" t="s">
        <v>18</v>
      </c>
      <c r="C473" t="s">
        <v>25</v>
      </c>
      <c r="D473" t="s">
        <v>32</v>
      </c>
      <c r="E473" s="1">
        <v>44437</v>
      </c>
      <c r="F473" s="3">
        <v>1500</v>
      </c>
      <c r="G473" s="3">
        <v>70500</v>
      </c>
      <c r="H473" s="3">
        <v>65.92</v>
      </c>
      <c r="I473" s="3">
        <v>61833.2</v>
      </c>
      <c r="J473" s="2">
        <f t="shared" si="7"/>
        <v>-0.12293333333333338</v>
      </c>
    </row>
    <row r="474" spans="1:10" x14ac:dyDescent="0.35">
      <c r="A474" t="s">
        <v>12</v>
      </c>
      <c r="B474" t="s">
        <v>19</v>
      </c>
      <c r="C474" t="s">
        <v>29</v>
      </c>
      <c r="D474" t="s">
        <v>36</v>
      </c>
      <c r="E474" s="1">
        <v>44003</v>
      </c>
      <c r="F474" s="3">
        <v>1500</v>
      </c>
      <c r="G474" s="3">
        <v>93000</v>
      </c>
      <c r="H474" s="3">
        <v>48.96</v>
      </c>
      <c r="I474" s="3">
        <v>108495.88</v>
      </c>
      <c r="J474" s="2">
        <f t="shared" si="7"/>
        <v>0.1666223655913979</v>
      </c>
    </row>
    <row r="475" spans="1:10" x14ac:dyDescent="0.35">
      <c r="A475" t="s">
        <v>13</v>
      </c>
      <c r="B475" t="s">
        <v>18</v>
      </c>
      <c r="C475" t="s">
        <v>27</v>
      </c>
      <c r="D475" t="s">
        <v>33</v>
      </c>
      <c r="E475" s="1">
        <v>44186</v>
      </c>
      <c r="F475" s="3">
        <v>3000</v>
      </c>
      <c r="G475" s="3">
        <v>168000</v>
      </c>
      <c r="H475" s="3">
        <v>51.67</v>
      </c>
      <c r="I475" s="3">
        <v>263506.68</v>
      </c>
      <c r="J475" s="2">
        <f t="shared" si="7"/>
        <v>0.56849214285714278</v>
      </c>
    </row>
    <row r="476" spans="1:10" x14ac:dyDescent="0.35">
      <c r="A476" t="s">
        <v>13</v>
      </c>
      <c r="B476" t="s">
        <v>16</v>
      </c>
      <c r="C476" t="s">
        <v>25</v>
      </c>
      <c r="D476" t="s">
        <v>36</v>
      </c>
      <c r="E476" s="1">
        <v>43976</v>
      </c>
      <c r="F476" s="3">
        <v>1000</v>
      </c>
      <c r="G476" s="3">
        <v>63000</v>
      </c>
      <c r="H476" s="3">
        <v>31.2</v>
      </c>
      <c r="I476" s="3">
        <v>88933.47</v>
      </c>
      <c r="J476" s="2">
        <f t="shared" si="7"/>
        <v>0.41164238095238098</v>
      </c>
    </row>
    <row r="477" spans="1:10" x14ac:dyDescent="0.35">
      <c r="A477" t="s">
        <v>9</v>
      </c>
      <c r="B477" t="s">
        <v>17</v>
      </c>
      <c r="C477" t="s">
        <v>30</v>
      </c>
      <c r="D477" t="s">
        <v>32</v>
      </c>
      <c r="E477" s="1">
        <v>44350</v>
      </c>
      <c r="F477" s="3">
        <v>3000</v>
      </c>
      <c r="G477" s="3">
        <v>150000</v>
      </c>
      <c r="H477" s="3">
        <v>57.35</v>
      </c>
      <c r="I477" s="3">
        <v>205082.83</v>
      </c>
      <c r="J477" s="2">
        <f t="shared" si="7"/>
        <v>0.36721886666666659</v>
      </c>
    </row>
    <row r="478" spans="1:10" x14ac:dyDescent="0.35">
      <c r="A478" t="s">
        <v>14</v>
      </c>
      <c r="B478" t="s">
        <v>17</v>
      </c>
      <c r="C478" t="s">
        <v>22</v>
      </c>
      <c r="D478" t="s">
        <v>36</v>
      </c>
      <c r="E478" s="1">
        <v>44997</v>
      </c>
      <c r="F478" s="3">
        <v>500</v>
      </c>
      <c r="G478" s="3">
        <v>14500</v>
      </c>
      <c r="H478" s="3">
        <v>39.9</v>
      </c>
      <c r="I478" s="3">
        <v>17666.900000000001</v>
      </c>
      <c r="J478" s="2">
        <f t="shared" si="7"/>
        <v>0.21840689655172424</v>
      </c>
    </row>
    <row r="479" spans="1:10" x14ac:dyDescent="0.35">
      <c r="A479" t="s">
        <v>11</v>
      </c>
      <c r="B479" t="s">
        <v>20</v>
      </c>
      <c r="C479" t="s">
        <v>22</v>
      </c>
      <c r="D479" t="s">
        <v>32</v>
      </c>
      <c r="E479" s="1">
        <v>44569</v>
      </c>
      <c r="F479" s="3">
        <v>1500</v>
      </c>
      <c r="G479" s="3">
        <v>64500</v>
      </c>
      <c r="H479" s="3">
        <v>25.68</v>
      </c>
      <c r="I479" s="3">
        <v>96900.5</v>
      </c>
      <c r="J479" s="2">
        <f t="shared" si="7"/>
        <v>0.5023333333333333</v>
      </c>
    </row>
    <row r="480" spans="1:10" x14ac:dyDescent="0.35">
      <c r="A480" t="s">
        <v>6</v>
      </c>
      <c r="B480" t="s">
        <v>17</v>
      </c>
      <c r="C480" t="s">
        <v>22</v>
      </c>
      <c r="D480" t="s">
        <v>32</v>
      </c>
      <c r="E480" s="1">
        <v>44424</v>
      </c>
      <c r="F480" s="3">
        <v>2000</v>
      </c>
      <c r="G480" s="3">
        <v>96000</v>
      </c>
      <c r="H480" s="3">
        <v>23.83</v>
      </c>
      <c r="I480" s="3">
        <v>108501.92</v>
      </c>
      <c r="J480" s="2">
        <f t="shared" si="7"/>
        <v>0.13022833333333331</v>
      </c>
    </row>
    <row r="481" spans="1:10" x14ac:dyDescent="0.35">
      <c r="A481" t="s">
        <v>9</v>
      </c>
      <c r="B481" t="s">
        <v>17</v>
      </c>
      <c r="C481" t="s">
        <v>26</v>
      </c>
      <c r="D481" t="s">
        <v>33</v>
      </c>
      <c r="E481" s="1">
        <v>44217</v>
      </c>
      <c r="F481" s="3">
        <v>500</v>
      </c>
      <c r="G481" s="3">
        <v>27500</v>
      </c>
      <c r="H481" s="3">
        <v>11.8</v>
      </c>
      <c r="I481" s="3">
        <v>39472.82</v>
      </c>
      <c r="J481" s="2">
        <f t="shared" si="7"/>
        <v>0.43537527272727272</v>
      </c>
    </row>
    <row r="482" spans="1:10" x14ac:dyDescent="0.35">
      <c r="A482" t="s">
        <v>9</v>
      </c>
      <c r="B482" t="s">
        <v>16</v>
      </c>
      <c r="C482" t="s">
        <v>29</v>
      </c>
      <c r="D482" t="s">
        <v>35</v>
      </c>
      <c r="E482" s="1">
        <v>45056</v>
      </c>
      <c r="F482" s="3">
        <v>1000</v>
      </c>
      <c r="G482" s="3">
        <v>27000</v>
      </c>
      <c r="H482" s="3">
        <v>64.790000000000006</v>
      </c>
      <c r="I482" s="3">
        <v>39977.78</v>
      </c>
      <c r="J482" s="2">
        <f t="shared" si="7"/>
        <v>0.48065851851851848</v>
      </c>
    </row>
    <row r="483" spans="1:10" x14ac:dyDescent="0.35">
      <c r="A483" t="s">
        <v>12</v>
      </c>
      <c r="B483" t="s">
        <v>17</v>
      </c>
      <c r="C483" t="s">
        <v>28</v>
      </c>
      <c r="D483" t="s">
        <v>36</v>
      </c>
      <c r="E483" s="1">
        <v>44538</v>
      </c>
      <c r="F483" s="3">
        <v>1000</v>
      </c>
      <c r="G483" s="3">
        <v>44000</v>
      </c>
      <c r="H483" s="3">
        <v>19.53</v>
      </c>
      <c r="I483" s="3">
        <v>44432.14</v>
      </c>
      <c r="J483" s="2">
        <f t="shared" si="7"/>
        <v>9.8213636363636229E-3</v>
      </c>
    </row>
    <row r="484" spans="1:10" x14ac:dyDescent="0.35">
      <c r="A484" t="s">
        <v>8</v>
      </c>
      <c r="B484" t="s">
        <v>17</v>
      </c>
      <c r="C484" t="s">
        <v>21</v>
      </c>
      <c r="D484" t="s">
        <v>35</v>
      </c>
      <c r="E484" s="1">
        <v>44547</v>
      </c>
      <c r="F484" s="3">
        <v>1500</v>
      </c>
      <c r="G484" s="3">
        <v>66000</v>
      </c>
      <c r="H484" s="3">
        <v>37.69</v>
      </c>
      <c r="I484" s="3">
        <v>103431.19</v>
      </c>
      <c r="J484" s="2">
        <f t="shared" si="7"/>
        <v>0.56713924242424241</v>
      </c>
    </row>
    <row r="485" spans="1:10" x14ac:dyDescent="0.35">
      <c r="A485" t="s">
        <v>12</v>
      </c>
      <c r="B485" t="s">
        <v>16</v>
      </c>
      <c r="C485" t="s">
        <v>22</v>
      </c>
      <c r="D485" t="s">
        <v>32</v>
      </c>
      <c r="E485" s="1">
        <v>44103</v>
      </c>
      <c r="F485" s="3">
        <v>1500</v>
      </c>
      <c r="G485" s="3">
        <v>88500</v>
      </c>
      <c r="H485" s="3">
        <v>49.72</v>
      </c>
      <c r="I485" s="3">
        <v>91882.38</v>
      </c>
      <c r="J485" s="2">
        <f t="shared" si="7"/>
        <v>3.8218983050847512E-2</v>
      </c>
    </row>
    <row r="486" spans="1:10" x14ac:dyDescent="0.35">
      <c r="A486" t="s">
        <v>6</v>
      </c>
      <c r="B486" t="s">
        <v>17</v>
      </c>
      <c r="C486" t="s">
        <v>23</v>
      </c>
      <c r="D486" t="s">
        <v>35</v>
      </c>
      <c r="E486" s="1">
        <v>44022</v>
      </c>
      <c r="F486" s="3">
        <v>500</v>
      </c>
      <c r="G486" s="3">
        <v>30500</v>
      </c>
      <c r="H486" s="3">
        <v>65.319999999999993</v>
      </c>
      <c r="I486" s="3">
        <v>36533.089999999997</v>
      </c>
      <c r="J486" s="2">
        <f t="shared" si="7"/>
        <v>0.1978062295081966</v>
      </c>
    </row>
    <row r="487" spans="1:10" x14ac:dyDescent="0.35">
      <c r="A487" t="s">
        <v>10</v>
      </c>
      <c r="B487" t="s">
        <v>16</v>
      </c>
      <c r="C487" t="s">
        <v>24</v>
      </c>
      <c r="D487" t="s">
        <v>32</v>
      </c>
      <c r="E487" s="1">
        <v>44506</v>
      </c>
      <c r="F487" s="3">
        <v>3000</v>
      </c>
      <c r="G487" s="3">
        <v>135000</v>
      </c>
      <c r="H487" s="3">
        <v>10.7</v>
      </c>
      <c r="I487" s="3">
        <v>165608.26</v>
      </c>
      <c r="J487" s="2">
        <f t="shared" si="7"/>
        <v>0.22672785185185193</v>
      </c>
    </row>
    <row r="488" spans="1:10" x14ac:dyDescent="0.35">
      <c r="A488" t="s">
        <v>13</v>
      </c>
      <c r="B488" t="s">
        <v>18</v>
      </c>
      <c r="C488" t="s">
        <v>25</v>
      </c>
      <c r="D488" t="s">
        <v>36</v>
      </c>
      <c r="E488" s="1">
        <v>43943</v>
      </c>
      <c r="F488" s="3">
        <v>3000</v>
      </c>
      <c r="G488" s="3">
        <v>192000</v>
      </c>
      <c r="H488" s="3">
        <v>26.79</v>
      </c>
      <c r="I488" s="3">
        <v>242071.27</v>
      </c>
      <c r="J488" s="2">
        <f t="shared" si="7"/>
        <v>0.26078786458333331</v>
      </c>
    </row>
    <row r="489" spans="1:10" x14ac:dyDescent="0.35">
      <c r="A489" t="s">
        <v>13</v>
      </c>
      <c r="B489" t="s">
        <v>20</v>
      </c>
      <c r="C489" t="s">
        <v>21</v>
      </c>
      <c r="D489" t="s">
        <v>31</v>
      </c>
      <c r="E489" s="1">
        <v>44048</v>
      </c>
      <c r="F489" s="3">
        <v>3000</v>
      </c>
      <c r="G489" s="3">
        <v>180000</v>
      </c>
      <c r="H489" s="3">
        <v>17.940000000000001</v>
      </c>
      <c r="I489" s="3">
        <v>264487.7</v>
      </c>
      <c r="J489" s="2">
        <f t="shared" si="7"/>
        <v>0.46937611111111116</v>
      </c>
    </row>
    <row r="490" spans="1:10" x14ac:dyDescent="0.35">
      <c r="A490" t="s">
        <v>14</v>
      </c>
      <c r="B490" t="s">
        <v>19</v>
      </c>
      <c r="C490" t="s">
        <v>28</v>
      </c>
      <c r="D490" t="s">
        <v>34</v>
      </c>
      <c r="E490" s="1">
        <v>44221</v>
      </c>
      <c r="F490" s="3">
        <v>500</v>
      </c>
      <c r="G490" s="3">
        <v>27500</v>
      </c>
      <c r="H490" s="3">
        <v>46.65</v>
      </c>
      <c r="I490" s="3">
        <v>37541.440000000002</v>
      </c>
      <c r="J490" s="2">
        <f t="shared" si="7"/>
        <v>0.36514327272727282</v>
      </c>
    </row>
    <row r="491" spans="1:10" x14ac:dyDescent="0.35">
      <c r="A491" t="s">
        <v>6</v>
      </c>
      <c r="B491" t="s">
        <v>20</v>
      </c>
      <c r="C491" t="s">
        <v>21</v>
      </c>
      <c r="D491" t="s">
        <v>32</v>
      </c>
      <c r="E491" s="1">
        <v>45044</v>
      </c>
      <c r="F491" s="3">
        <v>2000</v>
      </c>
      <c r="G491" s="3">
        <v>54000</v>
      </c>
      <c r="H491" s="3">
        <v>54.26</v>
      </c>
      <c r="I491" s="3">
        <v>72373.960000000006</v>
      </c>
      <c r="J491" s="2">
        <f t="shared" si="7"/>
        <v>0.34025851851851863</v>
      </c>
    </row>
    <row r="492" spans="1:10" x14ac:dyDescent="0.35">
      <c r="A492" t="s">
        <v>13</v>
      </c>
      <c r="B492" t="s">
        <v>19</v>
      </c>
      <c r="C492" t="s">
        <v>25</v>
      </c>
      <c r="D492" t="s">
        <v>33</v>
      </c>
      <c r="E492" s="1">
        <v>44043</v>
      </c>
      <c r="F492" s="3">
        <v>1500</v>
      </c>
      <c r="G492" s="3">
        <v>91500</v>
      </c>
      <c r="H492" s="3">
        <v>40.11</v>
      </c>
      <c r="I492" s="3">
        <v>118002.24000000001</v>
      </c>
      <c r="J492" s="2">
        <f t="shared" si="7"/>
        <v>0.2896419672131148</v>
      </c>
    </row>
    <row r="493" spans="1:10" x14ac:dyDescent="0.35">
      <c r="A493" t="s">
        <v>10</v>
      </c>
      <c r="B493" t="s">
        <v>16</v>
      </c>
      <c r="C493" t="s">
        <v>29</v>
      </c>
      <c r="D493" t="s">
        <v>34</v>
      </c>
      <c r="E493" s="1">
        <v>44213</v>
      </c>
      <c r="F493" s="3">
        <v>500</v>
      </c>
      <c r="G493" s="3">
        <v>27500</v>
      </c>
      <c r="H493" s="3">
        <v>58.26</v>
      </c>
      <c r="I493" s="3">
        <v>32437.42</v>
      </c>
      <c r="J493" s="2">
        <f t="shared" si="7"/>
        <v>0.1795425454545454</v>
      </c>
    </row>
    <row r="494" spans="1:10" x14ac:dyDescent="0.35">
      <c r="A494" t="s">
        <v>9</v>
      </c>
      <c r="B494" t="s">
        <v>19</v>
      </c>
      <c r="C494" t="s">
        <v>23</v>
      </c>
      <c r="D494" t="s">
        <v>33</v>
      </c>
      <c r="E494" s="1">
        <v>44636</v>
      </c>
      <c r="F494" s="3">
        <v>3000</v>
      </c>
      <c r="G494" s="3">
        <v>123000</v>
      </c>
      <c r="H494" s="3">
        <v>43.61</v>
      </c>
      <c r="I494" s="3">
        <v>175157.91</v>
      </c>
      <c r="J494" s="2">
        <f t="shared" si="7"/>
        <v>0.42404804878048785</v>
      </c>
    </row>
    <row r="495" spans="1:10" x14ac:dyDescent="0.35">
      <c r="A495" t="s">
        <v>13</v>
      </c>
      <c r="B495" t="s">
        <v>19</v>
      </c>
      <c r="C495" t="s">
        <v>24</v>
      </c>
      <c r="D495" t="s">
        <v>35</v>
      </c>
      <c r="E495" s="1">
        <v>44234</v>
      </c>
      <c r="F495" s="3">
        <v>1000</v>
      </c>
      <c r="G495" s="3">
        <v>54000</v>
      </c>
      <c r="H495" s="3">
        <v>13.92</v>
      </c>
      <c r="I495" s="3">
        <v>47359.8</v>
      </c>
      <c r="J495" s="2">
        <f t="shared" si="7"/>
        <v>-0.12296666666666661</v>
      </c>
    </row>
    <row r="496" spans="1:10" x14ac:dyDescent="0.35">
      <c r="A496" t="s">
        <v>12</v>
      </c>
      <c r="B496" t="s">
        <v>16</v>
      </c>
      <c r="C496" t="s">
        <v>24</v>
      </c>
      <c r="D496" t="s">
        <v>31</v>
      </c>
      <c r="E496" s="1">
        <v>44026</v>
      </c>
      <c r="F496" s="3">
        <v>1000</v>
      </c>
      <c r="G496" s="3">
        <v>61000</v>
      </c>
      <c r="H496" s="3">
        <v>53.14</v>
      </c>
      <c r="I496" s="3">
        <v>50291.51</v>
      </c>
      <c r="J496" s="2">
        <f t="shared" si="7"/>
        <v>-0.17554901639344259</v>
      </c>
    </row>
    <row r="497" spans="1:10" x14ac:dyDescent="0.35">
      <c r="A497" t="s">
        <v>8</v>
      </c>
      <c r="B497" t="s">
        <v>20</v>
      </c>
      <c r="C497" t="s">
        <v>30</v>
      </c>
      <c r="D497" t="s">
        <v>35</v>
      </c>
      <c r="E497" s="1">
        <v>44744</v>
      </c>
      <c r="F497" s="3">
        <v>500</v>
      </c>
      <c r="G497" s="3">
        <v>18500</v>
      </c>
      <c r="H497" s="3">
        <v>63.27</v>
      </c>
      <c r="I497" s="3">
        <v>18565.509999999998</v>
      </c>
      <c r="J497" s="2">
        <f t="shared" si="7"/>
        <v>3.5410810810809945E-3</v>
      </c>
    </row>
    <row r="498" spans="1:10" x14ac:dyDescent="0.35">
      <c r="A498" t="s">
        <v>14</v>
      </c>
      <c r="B498" t="s">
        <v>18</v>
      </c>
      <c r="C498" t="s">
        <v>26</v>
      </c>
      <c r="D498" t="s">
        <v>31</v>
      </c>
      <c r="E498" s="1">
        <v>43922</v>
      </c>
      <c r="F498" s="3">
        <v>1500</v>
      </c>
      <c r="G498" s="3">
        <v>97500</v>
      </c>
      <c r="H498" s="3">
        <v>27.26</v>
      </c>
      <c r="I498" s="3">
        <v>133685.76000000001</v>
      </c>
      <c r="J498" s="2">
        <f t="shared" si="7"/>
        <v>0.37113600000000008</v>
      </c>
    </row>
    <row r="499" spans="1:10" x14ac:dyDescent="0.35">
      <c r="A499" t="s">
        <v>8</v>
      </c>
      <c r="B499" t="s">
        <v>20</v>
      </c>
      <c r="C499" t="s">
        <v>21</v>
      </c>
      <c r="D499" t="s">
        <v>36</v>
      </c>
      <c r="E499" s="1">
        <v>44353</v>
      </c>
      <c r="F499" s="3">
        <v>500</v>
      </c>
      <c r="G499" s="3">
        <v>25000</v>
      </c>
      <c r="H499" s="3">
        <v>31.8</v>
      </c>
      <c r="I499" s="3">
        <v>33526.69</v>
      </c>
      <c r="J499" s="2">
        <f t="shared" si="7"/>
        <v>0.34106760000000008</v>
      </c>
    </row>
    <row r="500" spans="1:10" x14ac:dyDescent="0.35">
      <c r="A500" t="s">
        <v>7</v>
      </c>
      <c r="B500" t="s">
        <v>20</v>
      </c>
      <c r="C500" t="s">
        <v>22</v>
      </c>
      <c r="D500" t="s">
        <v>32</v>
      </c>
      <c r="E500" s="1">
        <v>44638</v>
      </c>
      <c r="F500" s="3">
        <v>1500</v>
      </c>
      <c r="G500" s="3">
        <v>61500</v>
      </c>
      <c r="H500" s="3">
        <v>23.66</v>
      </c>
      <c r="I500" s="3">
        <v>72894.070000000007</v>
      </c>
      <c r="J500" s="2">
        <f t="shared" si="7"/>
        <v>0.18526943089430906</v>
      </c>
    </row>
    <row r="501" spans="1:10" x14ac:dyDescent="0.35">
      <c r="A501" t="s">
        <v>7</v>
      </c>
      <c r="B501" t="s">
        <v>19</v>
      </c>
      <c r="C501" t="s">
        <v>27</v>
      </c>
      <c r="D501" t="s">
        <v>35</v>
      </c>
      <c r="E501" s="1">
        <v>43898</v>
      </c>
      <c r="F501" s="3">
        <v>500</v>
      </c>
      <c r="G501" s="3">
        <v>32500</v>
      </c>
      <c r="H501" s="3">
        <v>68.010000000000005</v>
      </c>
      <c r="I501" s="3">
        <v>48638.080000000002</v>
      </c>
      <c r="J501" s="2">
        <f t="shared" si="7"/>
        <v>0.49655630769230774</v>
      </c>
    </row>
    <row r="502" spans="1:10" x14ac:dyDescent="0.35">
      <c r="A502" t="s">
        <v>8</v>
      </c>
      <c r="B502" t="s">
        <v>19</v>
      </c>
      <c r="C502" t="s">
        <v>26</v>
      </c>
      <c r="D502" t="s">
        <v>34</v>
      </c>
      <c r="E502" s="1">
        <v>44930</v>
      </c>
      <c r="F502" s="3">
        <v>2000</v>
      </c>
      <c r="G502" s="3">
        <v>62000</v>
      </c>
      <c r="H502" s="3">
        <v>21.96</v>
      </c>
      <c r="I502" s="3">
        <v>50540.19</v>
      </c>
      <c r="J502" s="2">
        <f t="shared" si="7"/>
        <v>-0.18483564516129028</v>
      </c>
    </row>
    <row r="503" spans="1:10" x14ac:dyDescent="0.35">
      <c r="A503" t="s">
        <v>10</v>
      </c>
      <c r="B503" t="s">
        <v>19</v>
      </c>
      <c r="C503" t="s">
        <v>27</v>
      </c>
      <c r="D503" t="s">
        <v>35</v>
      </c>
      <c r="E503" s="1">
        <v>44548</v>
      </c>
      <c r="F503" s="3">
        <v>1500</v>
      </c>
      <c r="G503" s="3">
        <v>66000</v>
      </c>
      <c r="H503" s="3">
        <v>60.84</v>
      </c>
      <c r="I503" s="3">
        <v>83243.11</v>
      </c>
      <c r="J503" s="2">
        <f t="shared" si="7"/>
        <v>0.26125924242424242</v>
      </c>
    </row>
    <row r="504" spans="1:10" x14ac:dyDescent="0.35">
      <c r="A504" t="s">
        <v>14</v>
      </c>
      <c r="B504" t="s">
        <v>16</v>
      </c>
      <c r="C504" t="s">
        <v>29</v>
      </c>
      <c r="D504" t="s">
        <v>35</v>
      </c>
      <c r="E504" s="1">
        <v>44382</v>
      </c>
      <c r="F504" s="3">
        <v>1000</v>
      </c>
      <c r="G504" s="3">
        <v>49000</v>
      </c>
      <c r="H504" s="3">
        <v>55.54</v>
      </c>
      <c r="I504" s="3">
        <v>43794.720000000001</v>
      </c>
      <c r="J504" s="2">
        <f t="shared" si="7"/>
        <v>-0.10623020408163263</v>
      </c>
    </row>
    <row r="505" spans="1:10" x14ac:dyDescent="0.35">
      <c r="A505" t="s">
        <v>6</v>
      </c>
      <c r="B505" t="s">
        <v>17</v>
      </c>
      <c r="C505" t="s">
        <v>30</v>
      </c>
      <c r="D505" t="s">
        <v>32</v>
      </c>
      <c r="E505" s="1">
        <v>44250</v>
      </c>
      <c r="F505" s="3">
        <v>1000</v>
      </c>
      <c r="G505" s="3">
        <v>54000</v>
      </c>
      <c r="H505" s="3">
        <v>11.4</v>
      </c>
      <c r="I505" s="3">
        <v>64442.62</v>
      </c>
      <c r="J505" s="2">
        <f t="shared" si="7"/>
        <v>0.19338185185185189</v>
      </c>
    </row>
    <row r="506" spans="1:10" x14ac:dyDescent="0.35">
      <c r="A506" t="s">
        <v>6</v>
      </c>
      <c r="B506" t="s">
        <v>18</v>
      </c>
      <c r="C506" t="s">
        <v>27</v>
      </c>
      <c r="D506" t="s">
        <v>33</v>
      </c>
      <c r="E506" s="1">
        <v>45278</v>
      </c>
      <c r="F506" s="3">
        <v>1000</v>
      </c>
      <c r="G506" s="3">
        <v>19000</v>
      </c>
      <c r="H506" s="3">
        <v>42.58</v>
      </c>
      <c r="I506" s="3">
        <v>21682.13</v>
      </c>
      <c r="J506" s="2">
        <f t="shared" si="7"/>
        <v>0.14116473684210532</v>
      </c>
    </row>
    <row r="507" spans="1:10" x14ac:dyDescent="0.35">
      <c r="A507" t="s">
        <v>14</v>
      </c>
      <c r="B507" t="s">
        <v>19</v>
      </c>
      <c r="C507" t="s">
        <v>25</v>
      </c>
      <c r="D507" t="s">
        <v>31</v>
      </c>
      <c r="E507" s="1">
        <v>44009</v>
      </c>
      <c r="F507" s="3">
        <v>1000</v>
      </c>
      <c r="G507" s="3">
        <v>62000</v>
      </c>
      <c r="H507" s="3">
        <v>48.84</v>
      </c>
      <c r="I507" s="3">
        <v>74135.350000000006</v>
      </c>
      <c r="J507" s="2">
        <f t="shared" si="7"/>
        <v>0.19573145161290331</v>
      </c>
    </row>
    <row r="508" spans="1:10" x14ac:dyDescent="0.35">
      <c r="A508" t="s">
        <v>12</v>
      </c>
      <c r="B508" t="s">
        <v>16</v>
      </c>
      <c r="C508" t="s">
        <v>30</v>
      </c>
      <c r="D508" t="s">
        <v>32</v>
      </c>
      <c r="E508" s="1">
        <v>44190</v>
      </c>
      <c r="F508" s="3">
        <v>2000</v>
      </c>
      <c r="G508" s="3">
        <v>112000</v>
      </c>
      <c r="H508" s="3">
        <v>44.01</v>
      </c>
      <c r="I508" s="3">
        <v>112554.45</v>
      </c>
      <c r="J508" s="2">
        <f t="shared" si="7"/>
        <v>4.9504464285714022E-3</v>
      </c>
    </row>
    <row r="509" spans="1:10" x14ac:dyDescent="0.35">
      <c r="A509" t="s">
        <v>8</v>
      </c>
      <c r="B509" t="s">
        <v>20</v>
      </c>
      <c r="C509" t="s">
        <v>25</v>
      </c>
      <c r="D509" t="s">
        <v>31</v>
      </c>
      <c r="E509" s="1">
        <v>44854</v>
      </c>
      <c r="F509" s="3">
        <v>500</v>
      </c>
      <c r="G509" s="3">
        <v>17000</v>
      </c>
      <c r="H509" s="3">
        <v>60.68</v>
      </c>
      <c r="I509" s="3">
        <v>26981.53</v>
      </c>
      <c r="J509" s="2">
        <f t="shared" si="7"/>
        <v>0.58714882352941167</v>
      </c>
    </row>
    <row r="510" spans="1:10" x14ac:dyDescent="0.35">
      <c r="A510" t="s">
        <v>7</v>
      </c>
      <c r="B510" t="s">
        <v>17</v>
      </c>
      <c r="C510" t="s">
        <v>27</v>
      </c>
      <c r="D510" t="s">
        <v>31</v>
      </c>
      <c r="E510" s="1">
        <v>43880</v>
      </c>
      <c r="F510" s="3">
        <v>3000</v>
      </c>
      <c r="G510" s="3">
        <v>198000</v>
      </c>
      <c r="H510" s="3">
        <v>17.11</v>
      </c>
      <c r="I510" s="3">
        <v>171014.68</v>
      </c>
      <c r="J510" s="2">
        <f t="shared" si="7"/>
        <v>-0.13628949494949499</v>
      </c>
    </row>
    <row r="511" spans="1:10" x14ac:dyDescent="0.35">
      <c r="A511" t="s">
        <v>13</v>
      </c>
      <c r="B511" t="s">
        <v>19</v>
      </c>
      <c r="C511" t="s">
        <v>25</v>
      </c>
      <c r="D511" t="s">
        <v>31</v>
      </c>
      <c r="E511" s="1">
        <v>44287</v>
      </c>
      <c r="F511" s="3">
        <v>1500</v>
      </c>
      <c r="G511" s="3">
        <v>78000</v>
      </c>
      <c r="H511" s="3">
        <v>66.5</v>
      </c>
      <c r="I511" s="3">
        <v>87145.44</v>
      </c>
      <c r="J511" s="2">
        <f t="shared" si="7"/>
        <v>0.1172492307692308</v>
      </c>
    </row>
    <row r="512" spans="1:10" x14ac:dyDescent="0.35">
      <c r="A512" t="s">
        <v>8</v>
      </c>
      <c r="B512" t="s">
        <v>18</v>
      </c>
      <c r="C512" t="s">
        <v>30</v>
      </c>
      <c r="D512" t="s">
        <v>35</v>
      </c>
      <c r="E512" s="1">
        <v>45323</v>
      </c>
      <c r="F512" s="3">
        <v>3000</v>
      </c>
      <c r="G512" s="3">
        <v>54000</v>
      </c>
      <c r="H512" s="3">
        <v>20.329999999999998</v>
      </c>
      <c r="I512" s="3">
        <v>72536.94</v>
      </c>
      <c r="J512" s="2">
        <f t="shared" si="7"/>
        <v>0.34327666666666673</v>
      </c>
    </row>
    <row r="513" spans="1:10" x14ac:dyDescent="0.35">
      <c r="A513" t="s">
        <v>13</v>
      </c>
      <c r="B513" t="s">
        <v>18</v>
      </c>
      <c r="C513" t="s">
        <v>28</v>
      </c>
      <c r="D513" t="s">
        <v>34</v>
      </c>
      <c r="E513" s="1">
        <v>44921</v>
      </c>
      <c r="F513" s="3">
        <v>2000</v>
      </c>
      <c r="G513" s="3">
        <v>62000</v>
      </c>
      <c r="H513" s="3">
        <v>43.92</v>
      </c>
      <c r="I513" s="3">
        <v>51967.6</v>
      </c>
      <c r="J513" s="2">
        <f t="shared" si="7"/>
        <v>-0.16181290322580646</v>
      </c>
    </row>
    <row r="514" spans="1:10" x14ac:dyDescent="0.35">
      <c r="A514" t="s">
        <v>7</v>
      </c>
      <c r="B514" t="s">
        <v>16</v>
      </c>
      <c r="C514" t="s">
        <v>22</v>
      </c>
      <c r="D514" t="s">
        <v>32</v>
      </c>
      <c r="E514" s="1">
        <v>45147</v>
      </c>
      <c r="F514" s="3">
        <v>2000</v>
      </c>
      <c r="G514" s="3">
        <v>48000</v>
      </c>
      <c r="H514" s="3">
        <v>31.77</v>
      </c>
      <c r="I514" s="3">
        <v>73829.59</v>
      </c>
      <c r="J514" s="2">
        <f t="shared" si="7"/>
        <v>0.53811645833333321</v>
      </c>
    </row>
    <row r="515" spans="1:10" x14ac:dyDescent="0.35">
      <c r="A515" t="s">
        <v>10</v>
      </c>
      <c r="B515" t="s">
        <v>17</v>
      </c>
      <c r="C515" t="s">
        <v>23</v>
      </c>
      <c r="D515" t="s">
        <v>35</v>
      </c>
      <c r="E515" s="1">
        <v>45000</v>
      </c>
      <c r="F515" s="3">
        <v>2000</v>
      </c>
      <c r="G515" s="3">
        <v>58000</v>
      </c>
      <c r="H515" s="3">
        <v>62.1</v>
      </c>
      <c r="I515" s="3">
        <v>92336.24</v>
      </c>
      <c r="J515" s="2">
        <f t="shared" ref="J515:J551" si="8">(I515-G515)/G515</f>
        <v>0.59200413793103457</v>
      </c>
    </row>
    <row r="516" spans="1:10" x14ac:dyDescent="0.35">
      <c r="A516" t="s">
        <v>7</v>
      </c>
      <c r="B516" t="s">
        <v>19</v>
      </c>
      <c r="C516" t="s">
        <v>24</v>
      </c>
      <c r="D516" t="s">
        <v>31</v>
      </c>
      <c r="E516" s="1">
        <v>44920</v>
      </c>
      <c r="F516" s="3">
        <v>3000</v>
      </c>
      <c r="G516" s="3">
        <v>93000</v>
      </c>
      <c r="H516" s="3">
        <v>53.99</v>
      </c>
      <c r="I516" s="3">
        <v>123344.83</v>
      </c>
      <c r="J516" s="2">
        <f t="shared" si="8"/>
        <v>0.32628849462365594</v>
      </c>
    </row>
    <row r="517" spans="1:10" x14ac:dyDescent="0.35">
      <c r="A517" t="s">
        <v>9</v>
      </c>
      <c r="B517" t="s">
        <v>16</v>
      </c>
      <c r="C517" t="s">
        <v>29</v>
      </c>
      <c r="D517" t="s">
        <v>31</v>
      </c>
      <c r="E517" s="1">
        <v>44649</v>
      </c>
      <c r="F517" s="3">
        <v>2000</v>
      </c>
      <c r="G517" s="3">
        <v>80000</v>
      </c>
      <c r="H517" s="3">
        <v>52.79</v>
      </c>
      <c r="I517" s="3">
        <v>81576.87</v>
      </c>
      <c r="J517" s="2">
        <f t="shared" si="8"/>
        <v>1.971087499999994E-2</v>
      </c>
    </row>
    <row r="518" spans="1:10" x14ac:dyDescent="0.35">
      <c r="A518" t="s">
        <v>12</v>
      </c>
      <c r="B518" t="s">
        <v>19</v>
      </c>
      <c r="C518" t="s">
        <v>28</v>
      </c>
      <c r="D518" t="s">
        <v>31</v>
      </c>
      <c r="E518" s="1">
        <v>44706</v>
      </c>
      <c r="F518" s="3">
        <v>2000</v>
      </c>
      <c r="G518" s="3">
        <v>76000</v>
      </c>
      <c r="H518" s="3">
        <v>56.5</v>
      </c>
      <c r="I518" s="3">
        <v>80150.600000000006</v>
      </c>
      <c r="J518" s="2">
        <f t="shared" si="8"/>
        <v>5.4613157894736919E-2</v>
      </c>
    </row>
    <row r="519" spans="1:10" x14ac:dyDescent="0.35">
      <c r="A519" t="s">
        <v>12</v>
      </c>
      <c r="B519" t="s">
        <v>19</v>
      </c>
      <c r="C519" t="s">
        <v>21</v>
      </c>
      <c r="D519" t="s">
        <v>33</v>
      </c>
      <c r="E519" s="1">
        <v>45088</v>
      </c>
      <c r="F519" s="3">
        <v>3000</v>
      </c>
      <c r="G519" s="3">
        <v>78000</v>
      </c>
      <c r="H519" s="3">
        <v>30.69</v>
      </c>
      <c r="I519" s="3">
        <v>69780.14</v>
      </c>
      <c r="J519" s="2">
        <f t="shared" si="8"/>
        <v>-0.10538282051282052</v>
      </c>
    </row>
    <row r="520" spans="1:10" x14ac:dyDescent="0.35">
      <c r="A520" t="s">
        <v>6</v>
      </c>
      <c r="B520" t="s">
        <v>17</v>
      </c>
      <c r="C520" t="s">
        <v>25</v>
      </c>
      <c r="D520" t="s">
        <v>32</v>
      </c>
      <c r="E520" s="1">
        <v>45054</v>
      </c>
      <c r="F520" s="3">
        <v>1500</v>
      </c>
      <c r="G520" s="3">
        <v>40500</v>
      </c>
      <c r="H520" s="3">
        <v>42.49</v>
      </c>
      <c r="I520" s="3">
        <v>35445.25</v>
      </c>
      <c r="J520" s="2">
        <f t="shared" si="8"/>
        <v>-0.12480864197530864</v>
      </c>
    </row>
    <row r="521" spans="1:10" x14ac:dyDescent="0.35">
      <c r="A521" t="s">
        <v>14</v>
      </c>
      <c r="B521" t="s">
        <v>16</v>
      </c>
      <c r="C521" t="s">
        <v>24</v>
      </c>
      <c r="D521" t="s">
        <v>32</v>
      </c>
      <c r="E521" s="1">
        <v>44138</v>
      </c>
      <c r="F521" s="3">
        <v>2000</v>
      </c>
      <c r="G521" s="3">
        <v>114000</v>
      </c>
      <c r="H521" s="3">
        <v>34.729999999999997</v>
      </c>
      <c r="I521" s="3">
        <v>148094.34</v>
      </c>
      <c r="J521" s="2">
        <f t="shared" si="8"/>
        <v>0.29907315789473682</v>
      </c>
    </row>
    <row r="522" spans="1:10" x14ac:dyDescent="0.35">
      <c r="A522" t="s">
        <v>11</v>
      </c>
      <c r="B522" t="s">
        <v>16</v>
      </c>
      <c r="C522" t="s">
        <v>21</v>
      </c>
      <c r="D522" t="s">
        <v>35</v>
      </c>
      <c r="E522" s="1">
        <v>44724</v>
      </c>
      <c r="F522" s="3">
        <v>3000</v>
      </c>
      <c r="G522" s="3">
        <v>114000</v>
      </c>
      <c r="H522" s="3">
        <v>25.35</v>
      </c>
      <c r="I522" s="3">
        <v>148902.51999999999</v>
      </c>
      <c r="J522" s="2">
        <f t="shared" si="8"/>
        <v>0.30616245614035076</v>
      </c>
    </row>
    <row r="523" spans="1:10" x14ac:dyDescent="0.35">
      <c r="A523" t="s">
        <v>14</v>
      </c>
      <c r="B523" t="s">
        <v>17</v>
      </c>
      <c r="C523" t="s">
        <v>21</v>
      </c>
      <c r="D523" t="s">
        <v>33</v>
      </c>
      <c r="E523" s="1">
        <v>43992</v>
      </c>
      <c r="F523" s="3">
        <v>500</v>
      </c>
      <c r="G523" s="3">
        <v>31000</v>
      </c>
      <c r="H523" s="3">
        <v>16.86</v>
      </c>
      <c r="I523" s="3">
        <v>29016.49</v>
      </c>
      <c r="J523" s="2">
        <f t="shared" si="8"/>
        <v>-6.3984193548387039E-2</v>
      </c>
    </row>
    <row r="524" spans="1:10" x14ac:dyDescent="0.35">
      <c r="A524" t="s">
        <v>10</v>
      </c>
      <c r="B524" t="s">
        <v>19</v>
      </c>
      <c r="C524" t="s">
        <v>22</v>
      </c>
      <c r="D524" t="s">
        <v>32</v>
      </c>
      <c r="E524" s="1">
        <v>44206</v>
      </c>
      <c r="F524" s="3">
        <v>1500</v>
      </c>
      <c r="G524" s="3">
        <v>82500</v>
      </c>
      <c r="H524" s="3">
        <v>69.37</v>
      </c>
      <c r="I524" s="3">
        <v>121305.68</v>
      </c>
      <c r="J524" s="2">
        <f t="shared" si="8"/>
        <v>0.47037187878787873</v>
      </c>
    </row>
    <row r="525" spans="1:10" x14ac:dyDescent="0.35">
      <c r="A525" t="s">
        <v>15</v>
      </c>
      <c r="B525" t="s">
        <v>20</v>
      </c>
      <c r="C525" t="s">
        <v>27</v>
      </c>
      <c r="D525" t="s">
        <v>32</v>
      </c>
      <c r="E525" s="1">
        <v>44370</v>
      </c>
      <c r="F525" s="3">
        <v>3000</v>
      </c>
      <c r="G525" s="3">
        <v>150000</v>
      </c>
      <c r="H525" s="3">
        <v>52.28</v>
      </c>
      <c r="I525" s="3">
        <v>153882.19</v>
      </c>
      <c r="J525" s="2">
        <f t="shared" si="8"/>
        <v>2.5881266666666684E-2</v>
      </c>
    </row>
    <row r="526" spans="1:10" x14ac:dyDescent="0.35">
      <c r="A526" t="s">
        <v>8</v>
      </c>
      <c r="B526" t="s">
        <v>16</v>
      </c>
      <c r="C526" t="s">
        <v>21</v>
      </c>
      <c r="D526" t="s">
        <v>35</v>
      </c>
      <c r="E526" s="1">
        <v>44493</v>
      </c>
      <c r="F526" s="3">
        <v>2000</v>
      </c>
      <c r="G526" s="3">
        <v>92000</v>
      </c>
      <c r="H526" s="3">
        <v>45.93</v>
      </c>
      <c r="I526" s="3">
        <v>97877.14</v>
      </c>
      <c r="J526" s="2">
        <f t="shared" si="8"/>
        <v>6.3881956521739128E-2</v>
      </c>
    </row>
    <row r="527" spans="1:10" x14ac:dyDescent="0.35">
      <c r="A527" t="s">
        <v>13</v>
      </c>
      <c r="B527" t="s">
        <v>19</v>
      </c>
      <c r="C527" t="s">
        <v>28</v>
      </c>
      <c r="D527" t="s">
        <v>32</v>
      </c>
      <c r="E527" s="1">
        <v>44544</v>
      </c>
      <c r="F527" s="3">
        <v>3000</v>
      </c>
      <c r="G527" s="3">
        <v>132000</v>
      </c>
      <c r="H527" s="3">
        <v>24.83</v>
      </c>
      <c r="I527" s="3">
        <v>107289.33</v>
      </c>
      <c r="J527" s="2">
        <f t="shared" si="8"/>
        <v>-0.18720204545454544</v>
      </c>
    </row>
    <row r="528" spans="1:10" x14ac:dyDescent="0.35">
      <c r="A528" t="s">
        <v>9</v>
      </c>
      <c r="B528" t="s">
        <v>17</v>
      </c>
      <c r="C528" t="s">
        <v>30</v>
      </c>
      <c r="D528" t="s">
        <v>31</v>
      </c>
      <c r="E528" s="1">
        <v>44757</v>
      </c>
      <c r="F528" s="3">
        <v>2000</v>
      </c>
      <c r="G528" s="3">
        <v>74000</v>
      </c>
      <c r="H528" s="3">
        <v>20.37</v>
      </c>
      <c r="I528" s="3">
        <v>86195.43</v>
      </c>
      <c r="J528" s="2">
        <f t="shared" si="8"/>
        <v>0.16480310810810803</v>
      </c>
    </row>
    <row r="529" spans="1:10" x14ac:dyDescent="0.35">
      <c r="A529" t="s">
        <v>14</v>
      </c>
      <c r="B529" t="s">
        <v>19</v>
      </c>
      <c r="C529" t="s">
        <v>26</v>
      </c>
      <c r="D529" t="s">
        <v>35</v>
      </c>
      <c r="E529" s="1">
        <v>44899</v>
      </c>
      <c r="F529" s="3">
        <v>2000</v>
      </c>
      <c r="G529" s="3">
        <v>64000</v>
      </c>
      <c r="H529" s="3">
        <v>19.27</v>
      </c>
      <c r="I529" s="3">
        <v>101787.69</v>
      </c>
      <c r="J529" s="2">
        <f t="shared" si="8"/>
        <v>0.59043265625000008</v>
      </c>
    </row>
    <row r="530" spans="1:10" x14ac:dyDescent="0.35">
      <c r="A530" t="s">
        <v>6</v>
      </c>
      <c r="B530" t="s">
        <v>17</v>
      </c>
      <c r="C530" t="s">
        <v>27</v>
      </c>
      <c r="D530" t="s">
        <v>31</v>
      </c>
      <c r="E530" s="1">
        <v>45110</v>
      </c>
      <c r="F530" s="3">
        <v>1500</v>
      </c>
      <c r="G530" s="3">
        <v>37500</v>
      </c>
      <c r="H530" s="3">
        <v>33.090000000000003</v>
      </c>
      <c r="I530" s="3">
        <v>34639.43</v>
      </c>
      <c r="J530" s="2">
        <f t="shared" si="8"/>
        <v>-7.6281866666666656E-2</v>
      </c>
    </row>
    <row r="531" spans="1:10" x14ac:dyDescent="0.35">
      <c r="A531" t="s">
        <v>7</v>
      </c>
      <c r="B531" t="s">
        <v>18</v>
      </c>
      <c r="C531" t="s">
        <v>30</v>
      </c>
      <c r="D531" t="s">
        <v>31</v>
      </c>
      <c r="E531" s="1">
        <v>43932</v>
      </c>
      <c r="F531" s="3">
        <v>2000</v>
      </c>
      <c r="G531" s="3">
        <v>128000</v>
      </c>
      <c r="H531" s="3">
        <v>51.45</v>
      </c>
      <c r="I531" s="3">
        <v>175931.42</v>
      </c>
      <c r="J531" s="2">
        <f t="shared" si="8"/>
        <v>0.37446421875000008</v>
      </c>
    </row>
    <row r="532" spans="1:10" x14ac:dyDescent="0.35">
      <c r="A532" t="s">
        <v>10</v>
      </c>
      <c r="B532" t="s">
        <v>18</v>
      </c>
      <c r="C532" t="s">
        <v>27</v>
      </c>
      <c r="D532" t="s">
        <v>34</v>
      </c>
      <c r="E532" s="1">
        <v>44152</v>
      </c>
      <c r="F532" s="3">
        <v>1000</v>
      </c>
      <c r="G532" s="3">
        <v>57000</v>
      </c>
      <c r="H532" s="3">
        <v>68.89</v>
      </c>
      <c r="I532" s="3">
        <v>53755.92</v>
      </c>
      <c r="J532" s="2">
        <f t="shared" si="8"/>
        <v>-5.6913684210526345E-2</v>
      </c>
    </row>
    <row r="533" spans="1:10" x14ac:dyDescent="0.35">
      <c r="A533" t="s">
        <v>14</v>
      </c>
      <c r="B533" t="s">
        <v>16</v>
      </c>
      <c r="C533" t="s">
        <v>27</v>
      </c>
      <c r="D533" t="s">
        <v>34</v>
      </c>
      <c r="E533" s="1">
        <v>45280</v>
      </c>
      <c r="F533" s="3">
        <v>1500</v>
      </c>
      <c r="G533" s="3">
        <v>28500</v>
      </c>
      <c r="H533" s="3">
        <v>57.84</v>
      </c>
      <c r="I533" s="3">
        <v>35451.82</v>
      </c>
      <c r="J533" s="2">
        <f t="shared" si="8"/>
        <v>0.24392350877192981</v>
      </c>
    </row>
    <row r="534" spans="1:10" x14ac:dyDescent="0.35">
      <c r="A534" t="s">
        <v>7</v>
      </c>
      <c r="B534" t="s">
        <v>19</v>
      </c>
      <c r="C534" t="s">
        <v>28</v>
      </c>
      <c r="D534" t="s">
        <v>35</v>
      </c>
      <c r="E534" s="1">
        <v>45259</v>
      </c>
      <c r="F534" s="3">
        <v>3000</v>
      </c>
      <c r="G534" s="3">
        <v>60000</v>
      </c>
      <c r="H534" s="3">
        <v>24.18</v>
      </c>
      <c r="I534" s="3">
        <v>86803.7</v>
      </c>
      <c r="J534" s="2">
        <f t="shared" si="8"/>
        <v>0.44672833333333328</v>
      </c>
    </row>
    <row r="535" spans="1:10" x14ac:dyDescent="0.35">
      <c r="A535" t="s">
        <v>13</v>
      </c>
      <c r="B535" t="s">
        <v>17</v>
      </c>
      <c r="C535" t="s">
        <v>28</v>
      </c>
      <c r="D535" t="s">
        <v>33</v>
      </c>
      <c r="E535" s="1">
        <v>44856</v>
      </c>
      <c r="F535" s="3">
        <v>1500</v>
      </c>
      <c r="G535" s="3">
        <v>49500</v>
      </c>
      <c r="H535" s="3">
        <v>49.29</v>
      </c>
      <c r="I535" s="3">
        <v>77309.14</v>
      </c>
      <c r="J535" s="2">
        <f t="shared" si="8"/>
        <v>0.56180080808080812</v>
      </c>
    </row>
    <row r="536" spans="1:10" x14ac:dyDescent="0.35">
      <c r="A536" t="s">
        <v>10</v>
      </c>
      <c r="B536" t="s">
        <v>16</v>
      </c>
      <c r="C536" t="s">
        <v>27</v>
      </c>
      <c r="D536" t="s">
        <v>34</v>
      </c>
      <c r="E536" s="1">
        <v>45101</v>
      </c>
      <c r="F536" s="3">
        <v>2000</v>
      </c>
      <c r="G536" s="3">
        <v>50000</v>
      </c>
      <c r="H536" s="3">
        <v>11.59</v>
      </c>
      <c r="I536" s="3">
        <v>55497.56</v>
      </c>
      <c r="J536" s="2">
        <f t="shared" si="8"/>
        <v>0.10995119999999996</v>
      </c>
    </row>
    <row r="537" spans="1:10" x14ac:dyDescent="0.35">
      <c r="A537" t="s">
        <v>14</v>
      </c>
      <c r="B537" t="s">
        <v>19</v>
      </c>
      <c r="C537" t="s">
        <v>21</v>
      </c>
      <c r="D537" t="s">
        <v>34</v>
      </c>
      <c r="E537" s="1">
        <v>44339</v>
      </c>
      <c r="F537" s="3">
        <v>2000</v>
      </c>
      <c r="G537" s="3">
        <v>102000</v>
      </c>
      <c r="H537" s="3">
        <v>14.87</v>
      </c>
      <c r="I537" s="3">
        <v>121222.79</v>
      </c>
      <c r="J537" s="2">
        <f t="shared" si="8"/>
        <v>0.18845872549019602</v>
      </c>
    </row>
    <row r="538" spans="1:10" x14ac:dyDescent="0.35">
      <c r="A538" t="s">
        <v>6</v>
      </c>
      <c r="B538" t="s">
        <v>16</v>
      </c>
      <c r="C538" t="s">
        <v>27</v>
      </c>
      <c r="D538" t="s">
        <v>31</v>
      </c>
      <c r="E538" s="1">
        <v>44850</v>
      </c>
      <c r="F538" s="3">
        <v>2000</v>
      </c>
      <c r="G538" s="3">
        <v>68000</v>
      </c>
      <c r="H538" s="3">
        <v>31.33</v>
      </c>
      <c r="I538" s="3">
        <v>85587.92</v>
      </c>
      <c r="J538" s="2">
        <f t="shared" si="8"/>
        <v>0.25864588235294117</v>
      </c>
    </row>
    <row r="539" spans="1:10" x14ac:dyDescent="0.35">
      <c r="A539" t="s">
        <v>11</v>
      </c>
      <c r="B539" t="s">
        <v>17</v>
      </c>
      <c r="C539" t="s">
        <v>27</v>
      </c>
      <c r="D539" t="s">
        <v>32</v>
      </c>
      <c r="E539" s="1">
        <v>45053</v>
      </c>
      <c r="F539" s="3">
        <v>2000</v>
      </c>
      <c r="G539" s="3">
        <v>54000</v>
      </c>
      <c r="H539" s="3">
        <v>35.57</v>
      </c>
      <c r="I539" s="3">
        <v>72981.11</v>
      </c>
      <c r="J539" s="2">
        <f t="shared" si="8"/>
        <v>0.35150203703703703</v>
      </c>
    </row>
    <row r="540" spans="1:10" x14ac:dyDescent="0.35">
      <c r="A540" t="s">
        <v>13</v>
      </c>
      <c r="B540" t="s">
        <v>17</v>
      </c>
      <c r="C540" t="s">
        <v>29</v>
      </c>
      <c r="D540" t="s">
        <v>33</v>
      </c>
      <c r="E540" s="1">
        <v>45011</v>
      </c>
      <c r="F540" s="3">
        <v>500</v>
      </c>
      <c r="G540" s="3">
        <v>14000</v>
      </c>
      <c r="H540" s="3">
        <v>45.73</v>
      </c>
      <c r="I540" s="3">
        <v>13504.14</v>
      </c>
      <c r="J540" s="2">
        <f t="shared" si="8"/>
        <v>-3.5418571428571473E-2</v>
      </c>
    </row>
    <row r="541" spans="1:10" x14ac:dyDescent="0.35">
      <c r="A541" t="s">
        <v>14</v>
      </c>
      <c r="B541" t="s">
        <v>20</v>
      </c>
      <c r="C541" t="s">
        <v>23</v>
      </c>
      <c r="D541" t="s">
        <v>34</v>
      </c>
      <c r="E541" s="1">
        <v>44191</v>
      </c>
      <c r="F541" s="3">
        <v>1500</v>
      </c>
      <c r="G541" s="3">
        <v>84000</v>
      </c>
      <c r="H541" s="3">
        <v>15.01</v>
      </c>
      <c r="I541" s="3">
        <v>115908.31</v>
      </c>
      <c r="J541" s="2">
        <f t="shared" si="8"/>
        <v>0.37986083333333331</v>
      </c>
    </row>
    <row r="542" spans="1:10" x14ac:dyDescent="0.35">
      <c r="A542" t="s">
        <v>10</v>
      </c>
      <c r="B542" t="s">
        <v>19</v>
      </c>
      <c r="C542" t="s">
        <v>27</v>
      </c>
      <c r="D542" t="s">
        <v>36</v>
      </c>
      <c r="E542" s="1">
        <v>44520</v>
      </c>
      <c r="F542" s="3">
        <v>1500</v>
      </c>
      <c r="G542" s="3">
        <v>67500</v>
      </c>
      <c r="H542" s="3">
        <v>36.4</v>
      </c>
      <c r="I542" s="3">
        <v>77430.179999999993</v>
      </c>
      <c r="J542" s="2">
        <f t="shared" si="8"/>
        <v>0.14711377777777768</v>
      </c>
    </row>
    <row r="543" spans="1:10" x14ac:dyDescent="0.35">
      <c r="A543" t="s">
        <v>6</v>
      </c>
      <c r="B543" t="s">
        <v>18</v>
      </c>
      <c r="C543" t="s">
        <v>21</v>
      </c>
      <c r="D543" t="s">
        <v>36</v>
      </c>
      <c r="E543" s="1">
        <v>43876</v>
      </c>
      <c r="F543" s="3">
        <v>500</v>
      </c>
      <c r="G543" s="3">
        <v>33000</v>
      </c>
      <c r="H543" s="3">
        <v>56.92</v>
      </c>
      <c r="I543" s="3">
        <v>31303.39</v>
      </c>
      <c r="J543" s="2">
        <f t="shared" si="8"/>
        <v>-5.1412424242424259E-2</v>
      </c>
    </row>
    <row r="544" spans="1:10" x14ac:dyDescent="0.35">
      <c r="A544" t="s">
        <v>13</v>
      </c>
      <c r="B544" t="s">
        <v>17</v>
      </c>
      <c r="C544" t="s">
        <v>23</v>
      </c>
      <c r="D544" t="s">
        <v>34</v>
      </c>
      <c r="E544" s="1">
        <v>44736</v>
      </c>
      <c r="F544" s="3">
        <v>1500</v>
      </c>
      <c r="G544" s="3">
        <v>55500</v>
      </c>
      <c r="H544" s="3">
        <v>44.05</v>
      </c>
      <c r="I544" s="3">
        <v>85030.55</v>
      </c>
      <c r="J544" s="2">
        <f t="shared" si="8"/>
        <v>0.53208198198198209</v>
      </c>
    </row>
    <row r="545" spans="1:10" x14ac:dyDescent="0.35">
      <c r="A545" t="s">
        <v>14</v>
      </c>
      <c r="B545" t="s">
        <v>20</v>
      </c>
      <c r="C545" t="s">
        <v>23</v>
      </c>
      <c r="D545" t="s">
        <v>31</v>
      </c>
      <c r="E545" s="1">
        <v>45138</v>
      </c>
      <c r="F545" s="3">
        <v>500</v>
      </c>
      <c r="G545" s="3">
        <v>12000</v>
      </c>
      <c r="H545" s="3">
        <v>40.4</v>
      </c>
      <c r="I545" s="3">
        <v>13796.49</v>
      </c>
      <c r="J545" s="2">
        <f t="shared" si="8"/>
        <v>0.14970749999999999</v>
      </c>
    </row>
    <row r="546" spans="1:10" x14ac:dyDescent="0.35">
      <c r="A546" t="s">
        <v>13</v>
      </c>
      <c r="B546" t="s">
        <v>17</v>
      </c>
      <c r="C546" t="s">
        <v>29</v>
      </c>
      <c r="D546" t="s">
        <v>35</v>
      </c>
      <c r="E546" s="1">
        <v>45014</v>
      </c>
      <c r="F546" s="3">
        <v>2000</v>
      </c>
      <c r="G546" s="3">
        <v>56000</v>
      </c>
      <c r="H546" s="3">
        <v>15.95</v>
      </c>
      <c r="I546" s="3">
        <v>77795.98</v>
      </c>
      <c r="J546" s="2">
        <f t="shared" si="8"/>
        <v>0.3892139285714285</v>
      </c>
    </row>
    <row r="547" spans="1:10" x14ac:dyDescent="0.35">
      <c r="A547" t="s">
        <v>10</v>
      </c>
      <c r="B547" t="s">
        <v>16</v>
      </c>
      <c r="C547" t="s">
        <v>29</v>
      </c>
      <c r="D547" t="s">
        <v>31</v>
      </c>
      <c r="E547" s="1">
        <v>43878</v>
      </c>
      <c r="F547" s="3">
        <v>500</v>
      </c>
      <c r="G547" s="3">
        <v>33000</v>
      </c>
      <c r="H547" s="3">
        <v>35.729999999999997</v>
      </c>
      <c r="I547" s="3">
        <v>26707.16</v>
      </c>
      <c r="J547" s="2">
        <f t="shared" si="8"/>
        <v>-0.19069212121212123</v>
      </c>
    </row>
    <row r="548" spans="1:10" x14ac:dyDescent="0.35">
      <c r="A548" t="s">
        <v>9</v>
      </c>
      <c r="B548" t="s">
        <v>20</v>
      </c>
      <c r="C548" t="s">
        <v>27</v>
      </c>
      <c r="D548" t="s">
        <v>32</v>
      </c>
      <c r="E548" s="1">
        <v>43929</v>
      </c>
      <c r="F548" s="3">
        <v>500</v>
      </c>
      <c r="G548" s="3">
        <v>32000</v>
      </c>
      <c r="H548" s="3">
        <v>56.46</v>
      </c>
      <c r="I548" s="3">
        <v>36468.410000000003</v>
      </c>
      <c r="J548" s="2">
        <f t="shared" si="8"/>
        <v>0.1396378125000001</v>
      </c>
    </row>
    <row r="549" spans="1:10" x14ac:dyDescent="0.35">
      <c r="A549" t="s">
        <v>11</v>
      </c>
      <c r="B549" t="s">
        <v>17</v>
      </c>
      <c r="C549" t="s">
        <v>23</v>
      </c>
      <c r="D549" t="s">
        <v>32</v>
      </c>
      <c r="E549" s="1">
        <v>44486</v>
      </c>
      <c r="F549" s="3">
        <v>3000</v>
      </c>
      <c r="G549" s="3">
        <v>138000</v>
      </c>
      <c r="H549" s="3">
        <v>11.66</v>
      </c>
      <c r="I549" s="3">
        <v>201467.1</v>
      </c>
      <c r="J549" s="2">
        <f t="shared" si="8"/>
        <v>0.45990652173913049</v>
      </c>
    </row>
    <row r="550" spans="1:10" x14ac:dyDescent="0.35">
      <c r="A550" t="s">
        <v>11</v>
      </c>
      <c r="B550" t="s">
        <v>18</v>
      </c>
      <c r="C550" t="s">
        <v>21</v>
      </c>
      <c r="D550" t="s">
        <v>36</v>
      </c>
      <c r="E550" s="1">
        <v>43940</v>
      </c>
      <c r="F550" s="3">
        <v>500</v>
      </c>
      <c r="G550" s="3">
        <v>32000</v>
      </c>
      <c r="H550" s="3">
        <v>23.04</v>
      </c>
      <c r="I550" s="3">
        <v>40701.85</v>
      </c>
      <c r="J550" s="2">
        <f t="shared" si="8"/>
        <v>0.27193281249999995</v>
      </c>
    </row>
    <row r="551" spans="1:10" x14ac:dyDescent="0.35">
      <c r="A551" t="s">
        <v>10</v>
      </c>
      <c r="B551" t="s">
        <v>20</v>
      </c>
      <c r="C551" t="s">
        <v>26</v>
      </c>
      <c r="D551" t="s">
        <v>36</v>
      </c>
      <c r="E551" s="1">
        <v>44730</v>
      </c>
      <c r="F551" s="3">
        <v>3000</v>
      </c>
      <c r="G551" s="3">
        <v>114000</v>
      </c>
      <c r="H551" s="3">
        <v>65.33</v>
      </c>
      <c r="I551" s="3">
        <v>177234.72</v>
      </c>
      <c r="J551" s="2">
        <f t="shared" si="8"/>
        <v>0.55469052631578952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4931-5F56-44AA-BD7D-4748A912CEB2}">
  <dimension ref="A1"/>
  <sheetViews>
    <sheetView showGridLines="0" zoomScale="70" zoomScaleNormal="7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8225-A1B6-476E-A268-FC00A89E4959}">
  <dimension ref="A1:W50"/>
  <sheetViews>
    <sheetView showGridLines="0" tabSelected="1" topLeftCell="A13" zoomScale="77" zoomScaleNormal="70" workbookViewId="0">
      <selection activeCell="P35" sqref="P35"/>
    </sheetView>
  </sheetViews>
  <sheetFormatPr defaultRowHeight="14.5" x14ac:dyDescent="0.35"/>
  <cols>
    <col min="1" max="1" width="8.7265625" customWidth="1"/>
    <col min="9" max="9" width="8.81640625" customWidth="1"/>
  </cols>
  <sheetData>
    <row r="1" spans="1:23" x14ac:dyDescent="0.35">
      <c r="A1" s="8"/>
      <c r="B1" s="9"/>
      <c r="C1" s="9"/>
      <c r="D1" s="9"/>
      <c r="E1" s="9"/>
      <c r="F1" s="9"/>
      <c r="G1" s="9"/>
      <c r="H1" s="9"/>
      <c r="I1" s="9"/>
      <c r="J1" s="9"/>
      <c r="K1" s="9"/>
      <c r="L1" s="9"/>
      <c r="M1" s="9"/>
      <c r="N1" s="9"/>
      <c r="O1" s="9"/>
      <c r="P1" s="9"/>
      <c r="Q1" s="9"/>
      <c r="R1" s="9"/>
      <c r="S1" s="9"/>
      <c r="T1" s="9"/>
      <c r="U1" s="9"/>
      <c r="V1" s="9"/>
      <c r="W1" s="10"/>
    </row>
    <row r="2" spans="1:23" x14ac:dyDescent="0.35">
      <c r="A2" s="11" t="s">
        <v>53</v>
      </c>
      <c r="B2" s="12"/>
      <c r="C2" s="12"/>
      <c r="D2" s="12"/>
      <c r="E2" s="12"/>
      <c r="F2" s="12"/>
      <c r="G2" s="12"/>
      <c r="H2" s="12"/>
      <c r="I2" s="12"/>
      <c r="J2" s="12"/>
      <c r="K2" s="12"/>
      <c r="L2" s="12"/>
      <c r="M2" s="12"/>
      <c r="N2" s="12"/>
      <c r="O2" s="12"/>
      <c r="P2" s="12"/>
      <c r="Q2" s="12"/>
      <c r="R2" s="12"/>
      <c r="S2" s="12"/>
      <c r="T2" s="12"/>
      <c r="U2" s="12"/>
      <c r="V2" s="12"/>
      <c r="W2" s="13"/>
    </row>
    <row r="3" spans="1:23" x14ac:dyDescent="0.35">
      <c r="A3" s="11"/>
      <c r="B3" s="12"/>
      <c r="C3" s="12"/>
      <c r="D3" s="12"/>
      <c r="E3" s="12"/>
      <c r="F3" s="12"/>
      <c r="G3" s="12"/>
      <c r="H3" s="12"/>
      <c r="I3" s="12"/>
      <c r="J3" s="12"/>
      <c r="K3" s="12"/>
      <c r="L3" s="12"/>
      <c r="M3" s="12"/>
      <c r="N3" s="12"/>
      <c r="O3" s="12"/>
      <c r="P3" s="12"/>
      <c r="Q3" s="12"/>
      <c r="R3" s="12"/>
      <c r="S3" s="12"/>
      <c r="T3" s="12"/>
      <c r="U3" s="12"/>
      <c r="V3" s="12"/>
      <c r="W3" s="13"/>
    </row>
    <row r="4" spans="1:23" x14ac:dyDescent="0.35">
      <c r="A4" s="11"/>
      <c r="B4" s="12"/>
      <c r="C4" s="12"/>
      <c r="D4" s="12"/>
      <c r="E4" s="12"/>
      <c r="F4" s="12"/>
      <c r="G4" s="12"/>
      <c r="H4" s="12"/>
      <c r="I4" s="12"/>
      <c r="J4" s="12"/>
      <c r="K4" s="12"/>
      <c r="L4" s="12"/>
      <c r="M4" s="12"/>
      <c r="N4" s="12"/>
      <c r="O4" s="12"/>
      <c r="P4" s="12"/>
      <c r="Q4" s="12"/>
      <c r="R4" s="12"/>
      <c r="S4" s="12"/>
      <c r="T4" s="12"/>
      <c r="U4" s="12"/>
      <c r="V4" s="12"/>
      <c r="W4" s="13"/>
    </row>
    <row r="5" spans="1:23" x14ac:dyDescent="0.35">
      <c r="A5" s="11"/>
      <c r="B5" s="12"/>
      <c r="C5" s="12"/>
      <c r="D5" s="12"/>
      <c r="E5" s="12"/>
      <c r="F5" s="12"/>
      <c r="G5" s="12"/>
      <c r="H5" s="12"/>
      <c r="I5" s="12"/>
      <c r="J5" s="12"/>
      <c r="K5" s="12"/>
      <c r="L5" s="12"/>
      <c r="M5" s="12"/>
      <c r="N5" s="12"/>
      <c r="O5" s="12"/>
      <c r="P5" s="12"/>
      <c r="Q5" s="12"/>
      <c r="R5" s="12"/>
      <c r="S5" s="12"/>
      <c r="T5" s="12"/>
      <c r="U5" s="12"/>
      <c r="V5" s="12"/>
      <c r="W5" s="13"/>
    </row>
    <row r="6" spans="1:23" x14ac:dyDescent="0.35">
      <c r="A6" s="11"/>
      <c r="B6" s="12"/>
      <c r="C6" s="12"/>
      <c r="D6" s="12"/>
      <c r="E6" s="12"/>
      <c r="F6" s="12"/>
      <c r="G6" s="12"/>
      <c r="H6" s="12"/>
      <c r="I6" s="12"/>
      <c r="J6" s="12"/>
      <c r="K6" s="12"/>
      <c r="L6" s="12"/>
      <c r="M6" s="12"/>
      <c r="N6" s="12"/>
      <c r="O6" s="12"/>
      <c r="P6" s="12"/>
      <c r="Q6" s="12"/>
      <c r="R6" s="12"/>
      <c r="S6" s="12"/>
      <c r="T6" s="12"/>
      <c r="U6" s="12"/>
      <c r="V6" s="12"/>
      <c r="W6" s="13"/>
    </row>
    <row r="7" spans="1:23" x14ac:dyDescent="0.35">
      <c r="A7" s="11"/>
      <c r="B7" s="12"/>
      <c r="C7" s="12"/>
      <c r="D7" s="12"/>
      <c r="E7" s="12"/>
      <c r="F7" s="12"/>
      <c r="G7" s="12"/>
      <c r="H7" s="12"/>
      <c r="I7" s="12"/>
      <c r="J7" s="12"/>
      <c r="K7" s="12"/>
      <c r="L7" s="12"/>
      <c r="M7" s="12"/>
      <c r="N7" s="12"/>
      <c r="O7" s="12"/>
      <c r="P7" s="12"/>
      <c r="Q7" s="12"/>
      <c r="R7" s="12"/>
      <c r="S7" s="12"/>
      <c r="T7" s="12"/>
      <c r="U7" s="12"/>
      <c r="V7" s="12"/>
      <c r="W7" s="13" t="s">
        <v>53</v>
      </c>
    </row>
    <row r="8" spans="1:23" x14ac:dyDescent="0.35">
      <c r="A8" s="11"/>
      <c r="B8" s="12"/>
      <c r="C8" s="12"/>
      <c r="D8" s="12"/>
      <c r="E8" s="12"/>
      <c r="F8" s="12"/>
      <c r="G8" s="12"/>
      <c r="H8" s="12"/>
      <c r="I8" s="12"/>
      <c r="J8" s="12"/>
      <c r="K8" s="12"/>
      <c r="L8" s="12"/>
      <c r="M8" s="12"/>
      <c r="N8" s="12"/>
      <c r="O8" s="12"/>
      <c r="P8" s="12"/>
      <c r="Q8" s="12"/>
      <c r="R8" s="12"/>
      <c r="S8" s="12"/>
      <c r="T8" s="12"/>
      <c r="U8" s="12"/>
      <c r="V8" s="12"/>
      <c r="W8" s="13"/>
    </row>
    <row r="9" spans="1:23" x14ac:dyDescent="0.35">
      <c r="A9" s="11"/>
      <c r="B9" s="12"/>
      <c r="C9" s="12"/>
      <c r="D9" s="12"/>
      <c r="E9" s="12"/>
      <c r="F9" s="12"/>
      <c r="G9" s="12"/>
      <c r="H9" s="12"/>
      <c r="I9" s="12"/>
      <c r="J9" s="12"/>
      <c r="K9" s="12"/>
      <c r="L9" s="12"/>
      <c r="M9" s="12"/>
      <c r="N9" s="12"/>
      <c r="O9" s="12"/>
      <c r="P9" s="12"/>
      <c r="Q9" s="12"/>
      <c r="R9" s="12"/>
      <c r="S9" s="12"/>
      <c r="T9" s="12"/>
      <c r="U9" s="12"/>
      <c r="V9" s="12"/>
      <c r="W9" s="13"/>
    </row>
    <row r="10" spans="1:23" x14ac:dyDescent="0.35">
      <c r="A10" s="11"/>
      <c r="B10" s="12"/>
      <c r="C10" s="12"/>
      <c r="D10" s="12"/>
      <c r="E10" s="12"/>
      <c r="F10" s="12"/>
      <c r="G10" s="12"/>
      <c r="H10" s="12"/>
      <c r="I10" s="12"/>
      <c r="J10" s="12"/>
      <c r="K10" s="12"/>
      <c r="L10" s="12"/>
      <c r="M10" s="12"/>
      <c r="N10" s="12"/>
      <c r="O10" s="12"/>
      <c r="P10" s="12"/>
      <c r="Q10" s="12"/>
      <c r="R10" s="12"/>
      <c r="S10" s="12"/>
      <c r="T10" s="12"/>
      <c r="U10" s="12"/>
      <c r="V10" s="12"/>
      <c r="W10" s="13"/>
    </row>
    <row r="11" spans="1:23" x14ac:dyDescent="0.35">
      <c r="A11" s="11"/>
      <c r="B11" s="12"/>
      <c r="C11" s="12"/>
      <c r="D11" s="12"/>
      <c r="E11" s="12"/>
      <c r="F11" s="12"/>
      <c r="G11" s="12"/>
      <c r="H11" s="12"/>
      <c r="I11" s="12"/>
      <c r="J11" s="12"/>
      <c r="K11" s="12"/>
      <c r="L11" s="12"/>
      <c r="M11" s="12"/>
      <c r="N11" s="12"/>
      <c r="O11" s="12"/>
      <c r="P11" s="12"/>
      <c r="Q11" s="12"/>
      <c r="R11" s="12"/>
      <c r="S11" s="12"/>
      <c r="T11" s="12"/>
      <c r="U11" s="12"/>
      <c r="V11" s="12"/>
      <c r="W11" s="13"/>
    </row>
    <row r="12" spans="1:23" x14ac:dyDescent="0.35">
      <c r="A12" s="11"/>
      <c r="B12" s="12"/>
      <c r="C12" s="12"/>
      <c r="D12" s="12"/>
      <c r="E12" s="12"/>
      <c r="F12" s="12"/>
      <c r="G12" s="12"/>
      <c r="H12" s="12"/>
      <c r="I12" s="12"/>
      <c r="J12" s="12"/>
      <c r="K12" s="12"/>
      <c r="L12" s="12"/>
      <c r="M12" s="12"/>
      <c r="N12" s="12"/>
      <c r="O12" s="12"/>
      <c r="P12" s="12"/>
      <c r="Q12" s="12"/>
      <c r="R12" s="12"/>
      <c r="S12" s="12"/>
      <c r="T12" s="12"/>
      <c r="U12" s="12"/>
      <c r="V12" s="12"/>
      <c r="W12" s="13"/>
    </row>
    <row r="13" spans="1:23" x14ac:dyDescent="0.35">
      <c r="A13" s="11"/>
      <c r="B13" s="12"/>
      <c r="C13" s="12"/>
      <c r="D13" s="12"/>
      <c r="E13" s="12"/>
      <c r="F13" s="12"/>
      <c r="G13" s="12"/>
      <c r="H13" s="12"/>
      <c r="I13" s="12"/>
      <c r="J13" s="12"/>
      <c r="K13" s="12"/>
      <c r="L13" s="12"/>
      <c r="M13" s="12"/>
      <c r="N13" s="12"/>
      <c r="O13" s="12"/>
      <c r="P13" s="12"/>
      <c r="Q13" s="12"/>
      <c r="R13" s="12"/>
      <c r="S13" s="12"/>
      <c r="T13" s="12"/>
      <c r="U13" s="12"/>
      <c r="V13" s="12"/>
      <c r="W13" s="13"/>
    </row>
    <row r="14" spans="1:23" x14ac:dyDescent="0.35">
      <c r="A14" s="11"/>
      <c r="B14" s="12"/>
      <c r="C14" s="12"/>
      <c r="D14" s="12"/>
      <c r="E14" s="12"/>
      <c r="F14" s="12"/>
      <c r="G14" s="12"/>
      <c r="H14" s="12"/>
      <c r="I14" s="12"/>
      <c r="J14" s="12"/>
      <c r="K14" s="12"/>
      <c r="L14" s="12"/>
      <c r="M14" s="12"/>
      <c r="N14" s="12" t="s">
        <v>53</v>
      </c>
      <c r="O14" s="12"/>
      <c r="P14" s="12"/>
      <c r="Q14" s="12"/>
      <c r="R14" s="12"/>
      <c r="S14" s="12"/>
      <c r="T14" s="12"/>
      <c r="U14" s="12"/>
      <c r="V14" s="12"/>
      <c r="W14" s="13"/>
    </row>
    <row r="15" spans="1:23" x14ac:dyDescent="0.35">
      <c r="A15" s="11"/>
      <c r="B15" s="12"/>
      <c r="C15" s="12"/>
      <c r="D15" s="12"/>
      <c r="E15" s="12"/>
      <c r="F15" s="12"/>
      <c r="G15" s="12"/>
      <c r="H15" s="12"/>
      <c r="I15" s="12"/>
      <c r="J15" s="12"/>
      <c r="K15" s="12"/>
      <c r="L15" s="12"/>
      <c r="M15" s="12"/>
      <c r="N15" s="12"/>
      <c r="O15" s="12"/>
      <c r="P15" s="12"/>
      <c r="Q15" s="12"/>
      <c r="R15" s="12"/>
      <c r="S15" s="12"/>
      <c r="T15" s="12"/>
      <c r="U15" s="12"/>
      <c r="V15" s="12"/>
      <c r="W15" s="13"/>
    </row>
    <row r="16" spans="1:23" x14ac:dyDescent="0.35">
      <c r="A16" s="11"/>
      <c r="B16" s="12"/>
      <c r="C16" s="12"/>
      <c r="D16" s="12"/>
      <c r="E16" s="12"/>
      <c r="F16" s="12"/>
      <c r="G16" s="12"/>
      <c r="H16" s="12"/>
      <c r="I16" s="12"/>
      <c r="J16" s="12"/>
      <c r="K16" s="12"/>
      <c r="L16" s="12"/>
      <c r="M16" s="12"/>
      <c r="N16" s="12"/>
      <c r="O16" s="12"/>
      <c r="P16" s="12"/>
      <c r="Q16" s="12"/>
      <c r="R16" s="12"/>
      <c r="S16" s="12"/>
      <c r="T16" s="12"/>
      <c r="U16" s="12"/>
      <c r="V16" s="12"/>
      <c r="W16" s="13"/>
    </row>
    <row r="17" spans="1:23" x14ac:dyDescent="0.35">
      <c r="A17" s="11"/>
      <c r="B17" s="12"/>
      <c r="C17" s="12"/>
      <c r="D17" s="12"/>
      <c r="E17" s="12"/>
      <c r="F17" s="12"/>
      <c r="G17" s="12"/>
      <c r="H17" s="12"/>
      <c r="I17" s="12"/>
      <c r="J17" s="12"/>
      <c r="K17" s="12"/>
      <c r="L17" s="12"/>
      <c r="M17" s="12"/>
      <c r="N17" s="12"/>
      <c r="O17" s="12"/>
      <c r="P17" s="12"/>
      <c r="Q17" s="12"/>
      <c r="R17" s="12"/>
      <c r="S17" s="12"/>
      <c r="T17" s="12"/>
      <c r="U17" s="12"/>
      <c r="V17" s="12"/>
      <c r="W17" s="13"/>
    </row>
    <row r="18" spans="1:23" x14ac:dyDescent="0.35">
      <c r="A18" s="11"/>
      <c r="B18" s="12"/>
      <c r="C18" s="12"/>
      <c r="D18" s="12"/>
      <c r="E18" s="12"/>
      <c r="F18" s="12"/>
      <c r="G18" s="12"/>
      <c r="H18" s="12"/>
      <c r="I18" s="12"/>
      <c r="J18" s="12"/>
      <c r="K18" s="12"/>
      <c r="L18" s="12"/>
      <c r="M18" s="12"/>
      <c r="N18" s="12"/>
      <c r="O18" s="12"/>
      <c r="P18" s="12"/>
      <c r="Q18" s="12"/>
      <c r="R18" s="12"/>
      <c r="S18" s="12"/>
      <c r="T18" s="12"/>
      <c r="U18" s="12"/>
      <c r="V18" s="12"/>
      <c r="W18" s="13"/>
    </row>
    <row r="19" spans="1:23" x14ac:dyDescent="0.35">
      <c r="A19" s="11"/>
      <c r="B19" s="12"/>
      <c r="C19" s="12"/>
      <c r="D19" s="12"/>
      <c r="E19" s="12"/>
      <c r="F19" s="12"/>
      <c r="G19" s="12"/>
      <c r="H19" s="12"/>
      <c r="I19" s="12"/>
      <c r="J19" s="12"/>
      <c r="K19" s="12"/>
      <c r="L19" s="12"/>
      <c r="M19" s="12"/>
      <c r="N19" s="12"/>
      <c r="O19" s="12"/>
      <c r="P19" s="12"/>
      <c r="Q19" s="12"/>
      <c r="R19" s="12"/>
      <c r="S19" s="12"/>
      <c r="T19" s="12"/>
      <c r="U19" s="12"/>
      <c r="V19" s="12"/>
      <c r="W19" s="13"/>
    </row>
    <row r="20" spans="1:23" x14ac:dyDescent="0.35">
      <c r="A20" s="11"/>
      <c r="B20" s="12"/>
      <c r="C20" s="12"/>
      <c r="D20" s="12"/>
      <c r="E20" s="12"/>
      <c r="F20" s="12"/>
      <c r="G20" s="12"/>
      <c r="H20" s="12"/>
      <c r="I20" s="12"/>
      <c r="J20" s="12"/>
      <c r="K20" s="12"/>
      <c r="L20" s="12"/>
      <c r="M20" s="12"/>
      <c r="N20" s="12"/>
      <c r="O20" s="12"/>
      <c r="P20" s="12"/>
      <c r="Q20" s="12"/>
      <c r="R20" s="12"/>
      <c r="S20" s="12"/>
      <c r="T20" s="12"/>
      <c r="U20" s="12"/>
      <c r="V20" s="12"/>
      <c r="W20" s="13"/>
    </row>
    <row r="21" spans="1:23" x14ac:dyDescent="0.35">
      <c r="A21" s="11"/>
      <c r="B21" s="12"/>
      <c r="C21" s="12"/>
      <c r="D21" s="12"/>
      <c r="E21" s="12"/>
      <c r="F21" s="12"/>
      <c r="G21" s="12"/>
      <c r="H21" s="12"/>
      <c r="I21" s="12"/>
      <c r="J21" s="12"/>
      <c r="K21" s="12"/>
      <c r="L21" s="12"/>
      <c r="M21" s="12"/>
      <c r="N21" s="12"/>
      <c r="O21" s="12"/>
      <c r="P21" s="12"/>
      <c r="Q21" s="12"/>
      <c r="R21" s="12"/>
      <c r="S21" s="12"/>
      <c r="T21" s="12"/>
      <c r="U21" s="12"/>
      <c r="V21" s="12"/>
      <c r="W21" s="13"/>
    </row>
    <row r="22" spans="1:23" x14ac:dyDescent="0.35">
      <c r="A22" s="11"/>
      <c r="B22" s="12"/>
      <c r="C22" s="12"/>
      <c r="D22" s="12"/>
      <c r="E22" s="12"/>
      <c r="F22" s="12"/>
      <c r="G22" s="12"/>
      <c r="H22" s="12"/>
      <c r="I22" s="12"/>
      <c r="J22" s="12"/>
      <c r="K22" s="12"/>
      <c r="L22" s="12"/>
      <c r="M22" s="12"/>
      <c r="N22" s="12"/>
      <c r="O22" s="12"/>
      <c r="P22" s="12"/>
      <c r="Q22" s="12"/>
      <c r="R22" s="12"/>
      <c r="S22" s="12"/>
      <c r="T22" s="12"/>
      <c r="U22" s="12"/>
      <c r="V22" s="12"/>
      <c r="W22" s="13"/>
    </row>
    <row r="23" spans="1:23" x14ac:dyDescent="0.35">
      <c r="A23" s="11"/>
      <c r="B23" s="12"/>
      <c r="C23" s="12"/>
      <c r="D23" s="12"/>
      <c r="E23" s="12"/>
      <c r="F23" s="12"/>
      <c r="G23" s="12"/>
      <c r="H23" s="12"/>
      <c r="I23" s="12"/>
      <c r="J23" s="12"/>
      <c r="K23" s="12"/>
      <c r="L23" s="12"/>
      <c r="M23" s="12"/>
      <c r="N23" s="12"/>
      <c r="O23" s="12"/>
      <c r="P23" s="12"/>
      <c r="Q23" s="12"/>
      <c r="R23" s="12"/>
      <c r="S23" s="12"/>
      <c r="T23" s="12"/>
      <c r="U23" s="12"/>
      <c r="V23" s="12"/>
      <c r="W23" s="13"/>
    </row>
    <row r="24" spans="1:23" x14ac:dyDescent="0.35">
      <c r="A24" s="11"/>
      <c r="B24" s="12"/>
      <c r="C24" s="12"/>
      <c r="D24" s="12"/>
      <c r="E24" s="12"/>
      <c r="F24" s="12"/>
      <c r="G24" s="12"/>
      <c r="H24" s="12"/>
      <c r="I24" s="12"/>
      <c r="J24" s="12"/>
      <c r="K24" s="12"/>
      <c r="L24" s="12"/>
      <c r="M24" s="12"/>
      <c r="N24" s="12"/>
      <c r="O24" s="12"/>
      <c r="P24" s="12"/>
      <c r="Q24" s="12"/>
      <c r="R24" s="12"/>
      <c r="S24" s="12"/>
      <c r="T24" s="12"/>
      <c r="U24" s="12"/>
      <c r="V24" s="12"/>
      <c r="W24" s="13"/>
    </row>
    <row r="25" spans="1:23" x14ac:dyDescent="0.35">
      <c r="A25" s="11"/>
      <c r="B25" s="12"/>
      <c r="C25" s="12"/>
      <c r="D25" s="12"/>
      <c r="E25" s="12"/>
      <c r="F25" s="12"/>
      <c r="G25" s="12"/>
      <c r="H25" s="12"/>
      <c r="I25" s="12"/>
      <c r="J25" s="12"/>
      <c r="K25" s="12"/>
      <c r="L25" s="12"/>
      <c r="M25" s="12"/>
      <c r="N25" s="12"/>
      <c r="O25" s="12"/>
      <c r="P25" s="12"/>
      <c r="Q25" s="12"/>
      <c r="R25" s="12"/>
      <c r="S25" s="12"/>
      <c r="T25" s="12"/>
      <c r="U25" s="12"/>
      <c r="V25" s="12"/>
      <c r="W25" s="13"/>
    </row>
    <row r="26" spans="1:23" x14ac:dyDescent="0.35">
      <c r="A26" s="11"/>
      <c r="B26" s="12"/>
      <c r="C26" s="12"/>
      <c r="D26" s="12"/>
      <c r="E26" s="12"/>
      <c r="F26" s="12"/>
      <c r="G26" s="12"/>
      <c r="H26" s="12"/>
      <c r="I26" s="12"/>
      <c r="J26" s="12"/>
      <c r="K26" s="12"/>
      <c r="L26" s="12"/>
      <c r="M26" s="12"/>
      <c r="N26" s="12"/>
      <c r="O26" s="12"/>
      <c r="P26" s="12"/>
      <c r="Q26" s="12"/>
      <c r="R26" s="12"/>
      <c r="S26" s="12"/>
      <c r="T26" s="12"/>
      <c r="U26" s="12"/>
      <c r="V26" s="12"/>
      <c r="W26" s="13"/>
    </row>
    <row r="27" spans="1:23" x14ac:dyDescent="0.35">
      <c r="A27" s="11"/>
      <c r="B27" s="12"/>
      <c r="C27" s="12"/>
      <c r="D27" s="12"/>
      <c r="E27" s="12"/>
      <c r="F27" s="12"/>
      <c r="G27" s="12"/>
      <c r="H27" s="12"/>
      <c r="I27" s="12"/>
      <c r="J27" s="12"/>
      <c r="K27" s="12"/>
      <c r="L27" s="12"/>
      <c r="M27" s="12"/>
      <c r="N27" s="12"/>
      <c r="O27" s="12"/>
      <c r="P27" s="12"/>
      <c r="Q27" s="12"/>
      <c r="R27" s="12"/>
      <c r="S27" s="12"/>
      <c r="T27" s="12"/>
      <c r="U27" s="12"/>
      <c r="V27" s="12"/>
      <c r="W27" s="13"/>
    </row>
    <row r="28" spans="1:23" x14ac:dyDescent="0.35">
      <c r="A28" s="11"/>
      <c r="B28" s="12"/>
      <c r="C28" s="12"/>
      <c r="D28" s="12"/>
      <c r="E28" s="12"/>
      <c r="F28" s="12"/>
      <c r="G28" s="12"/>
      <c r="H28" s="12"/>
      <c r="I28" s="12"/>
      <c r="J28" s="12"/>
      <c r="K28" s="12"/>
      <c r="L28" s="12"/>
      <c r="M28" s="12"/>
      <c r="N28" s="12"/>
      <c r="O28" s="12"/>
      <c r="P28" s="12"/>
      <c r="Q28" s="12"/>
      <c r="R28" s="12"/>
      <c r="S28" s="12"/>
      <c r="T28" s="12"/>
      <c r="U28" s="12"/>
      <c r="V28" s="12"/>
      <c r="W28" s="13"/>
    </row>
    <row r="29" spans="1:23" x14ac:dyDescent="0.35">
      <c r="A29" s="11"/>
      <c r="B29" s="12"/>
      <c r="C29" s="12"/>
      <c r="D29" s="12"/>
      <c r="E29" s="12"/>
      <c r="F29" s="12"/>
      <c r="G29" s="12"/>
      <c r="H29" s="12"/>
      <c r="I29" s="12"/>
      <c r="J29" s="12"/>
      <c r="K29" s="12"/>
      <c r="L29" s="12"/>
      <c r="M29" s="12"/>
      <c r="N29" s="12"/>
      <c r="O29" s="12"/>
      <c r="P29" s="12"/>
      <c r="Q29" s="12"/>
      <c r="R29" s="12"/>
      <c r="S29" s="12"/>
      <c r="T29" s="12"/>
      <c r="U29" s="12"/>
      <c r="V29" s="12"/>
      <c r="W29" s="13"/>
    </row>
    <row r="30" spans="1:23" x14ac:dyDescent="0.35">
      <c r="A30" s="11"/>
      <c r="B30" s="12"/>
      <c r="C30" s="12"/>
      <c r="D30" s="12"/>
      <c r="E30" s="12"/>
      <c r="F30" s="12"/>
      <c r="G30" s="12"/>
      <c r="H30" s="12"/>
      <c r="I30" s="12"/>
      <c r="J30" s="12"/>
      <c r="K30" s="12"/>
      <c r="L30" s="12"/>
      <c r="M30" s="12"/>
      <c r="N30" s="12"/>
      <c r="O30" s="12"/>
      <c r="P30" s="12"/>
      <c r="Q30" s="12"/>
      <c r="R30" s="12"/>
      <c r="S30" s="12"/>
      <c r="T30" s="12"/>
      <c r="U30" s="12"/>
      <c r="V30" s="12"/>
      <c r="W30" s="13"/>
    </row>
    <row r="31" spans="1:23" x14ac:dyDescent="0.35">
      <c r="A31" s="11"/>
      <c r="B31" s="12"/>
      <c r="C31" s="12"/>
      <c r="D31" s="12"/>
      <c r="E31" s="12"/>
      <c r="F31" s="12"/>
      <c r="G31" s="12"/>
      <c r="H31" s="12"/>
      <c r="I31" s="12"/>
      <c r="J31" s="12"/>
      <c r="K31" s="12"/>
      <c r="L31" s="12"/>
      <c r="M31" s="12"/>
      <c r="N31" s="12"/>
      <c r="O31" s="12"/>
      <c r="P31" s="12"/>
      <c r="Q31" s="12"/>
      <c r="R31" s="12"/>
      <c r="S31" s="12"/>
      <c r="T31" s="12"/>
      <c r="U31" s="12"/>
      <c r="V31" s="12"/>
      <c r="W31" s="13"/>
    </row>
    <row r="32" spans="1:23" x14ac:dyDescent="0.35">
      <c r="A32" s="11"/>
      <c r="B32" s="12"/>
      <c r="C32" s="12"/>
      <c r="D32" s="12"/>
      <c r="E32" s="12"/>
      <c r="F32" s="12"/>
      <c r="G32" s="12"/>
      <c r="H32" s="12"/>
      <c r="I32" s="12"/>
      <c r="J32" s="12"/>
      <c r="K32" s="12"/>
      <c r="L32" s="12"/>
      <c r="M32" s="12"/>
      <c r="N32" s="12"/>
      <c r="O32" s="12"/>
      <c r="P32" s="12"/>
      <c r="Q32" s="12"/>
      <c r="R32" s="12"/>
      <c r="S32" s="12"/>
      <c r="T32" s="12"/>
      <c r="U32" s="12"/>
      <c r="V32" s="12"/>
      <c r="W32" s="13"/>
    </row>
    <row r="33" spans="1:23" x14ac:dyDescent="0.35">
      <c r="A33" s="11"/>
      <c r="B33" s="12"/>
      <c r="C33" s="12"/>
      <c r="D33" s="12"/>
      <c r="E33" s="12"/>
      <c r="F33" s="12"/>
      <c r="G33" s="12"/>
      <c r="H33" s="12"/>
      <c r="I33" s="12"/>
      <c r="J33" s="12"/>
      <c r="K33" s="12"/>
      <c r="L33" s="12"/>
      <c r="M33" s="12"/>
      <c r="N33" s="12"/>
      <c r="O33" s="12"/>
      <c r="P33" s="12"/>
      <c r="Q33" s="12"/>
      <c r="R33" s="12"/>
      <c r="S33" s="12"/>
      <c r="T33" s="12"/>
      <c r="U33" s="12"/>
      <c r="V33" s="12"/>
      <c r="W33" s="13"/>
    </row>
    <row r="34" spans="1:23" x14ac:dyDescent="0.35">
      <c r="A34" s="11"/>
      <c r="B34" s="12"/>
      <c r="C34" s="12"/>
      <c r="D34" s="12"/>
      <c r="E34" s="12"/>
      <c r="F34" s="12"/>
      <c r="G34" s="12"/>
      <c r="H34" s="12"/>
      <c r="I34" s="12"/>
      <c r="J34" s="12"/>
      <c r="K34" s="12"/>
      <c r="L34" s="12"/>
      <c r="M34" s="12"/>
      <c r="N34" s="12"/>
      <c r="O34" s="12"/>
      <c r="P34" s="12"/>
      <c r="Q34" s="12"/>
      <c r="R34" s="12"/>
      <c r="S34" s="12"/>
      <c r="T34" s="12"/>
      <c r="U34" s="12"/>
      <c r="V34" s="12"/>
      <c r="W34" s="13"/>
    </row>
    <row r="35" spans="1:23" x14ac:dyDescent="0.35">
      <c r="A35" s="11"/>
      <c r="B35" s="12"/>
      <c r="C35" s="12"/>
      <c r="D35" s="12"/>
      <c r="E35" s="12"/>
      <c r="F35" s="12"/>
      <c r="G35" s="12"/>
      <c r="H35" s="12"/>
      <c r="I35" s="12"/>
      <c r="J35" s="12"/>
      <c r="K35" s="12"/>
      <c r="L35" s="12"/>
      <c r="M35" s="12"/>
      <c r="N35" s="12"/>
      <c r="O35" s="12"/>
      <c r="P35" s="12"/>
      <c r="Q35" s="12"/>
      <c r="R35" s="12"/>
      <c r="S35" s="12"/>
      <c r="T35" s="12"/>
      <c r="U35" s="12"/>
      <c r="V35" s="12"/>
      <c r="W35" s="13"/>
    </row>
    <row r="36" spans="1:23" x14ac:dyDescent="0.35">
      <c r="A36" s="11"/>
      <c r="B36" s="12"/>
      <c r="C36" s="12"/>
      <c r="D36" s="12"/>
      <c r="E36" s="12"/>
      <c r="F36" s="12"/>
      <c r="G36" s="12"/>
      <c r="H36" s="12"/>
      <c r="I36" s="12"/>
      <c r="J36" s="12"/>
      <c r="K36" s="12"/>
      <c r="L36" s="12"/>
      <c r="M36" s="12"/>
      <c r="N36" s="12"/>
      <c r="O36" s="12"/>
      <c r="P36" s="12"/>
      <c r="Q36" s="12"/>
      <c r="R36" s="12"/>
      <c r="S36" s="12"/>
      <c r="T36" s="12"/>
      <c r="U36" s="12"/>
      <c r="V36" s="12"/>
      <c r="W36" s="13"/>
    </row>
    <row r="37" spans="1:23" x14ac:dyDescent="0.35">
      <c r="A37" s="11"/>
      <c r="B37" s="12"/>
      <c r="C37" s="12"/>
      <c r="D37" s="12"/>
      <c r="E37" s="12"/>
      <c r="F37" s="12"/>
      <c r="G37" s="12"/>
      <c r="H37" s="12"/>
      <c r="I37" s="12"/>
      <c r="J37" s="12"/>
      <c r="K37" s="12"/>
      <c r="L37" s="12"/>
      <c r="M37" s="12"/>
      <c r="N37" s="12"/>
      <c r="O37" s="12"/>
      <c r="P37" s="12"/>
      <c r="Q37" s="12"/>
      <c r="R37" s="12"/>
      <c r="S37" s="12"/>
      <c r="T37" s="12"/>
      <c r="U37" s="12"/>
      <c r="V37" s="12"/>
      <c r="W37" s="13"/>
    </row>
    <row r="38" spans="1:23" x14ac:dyDescent="0.35">
      <c r="A38" s="11"/>
      <c r="B38" s="12"/>
      <c r="C38" s="12"/>
      <c r="D38" s="12"/>
      <c r="E38" s="12"/>
      <c r="F38" s="12"/>
      <c r="G38" s="12"/>
      <c r="H38" s="12"/>
      <c r="I38" s="12"/>
      <c r="J38" s="12"/>
      <c r="K38" s="12"/>
      <c r="L38" s="12"/>
      <c r="M38" s="12"/>
      <c r="N38" s="12"/>
      <c r="O38" s="12"/>
      <c r="P38" s="12"/>
      <c r="Q38" s="12"/>
      <c r="R38" s="12"/>
      <c r="S38" s="12"/>
      <c r="T38" s="12"/>
      <c r="U38" s="12"/>
      <c r="V38" s="12"/>
      <c r="W38" s="13"/>
    </row>
    <row r="39" spans="1:23" x14ac:dyDescent="0.35">
      <c r="A39" s="11"/>
      <c r="B39" s="12"/>
      <c r="C39" s="12"/>
      <c r="D39" s="12"/>
      <c r="E39" s="12"/>
      <c r="F39" s="12"/>
      <c r="G39" s="12"/>
      <c r="H39" s="12"/>
      <c r="I39" s="12"/>
      <c r="J39" s="12"/>
      <c r="K39" s="12"/>
      <c r="L39" s="12"/>
      <c r="M39" s="12"/>
      <c r="N39" s="12"/>
      <c r="O39" s="12"/>
      <c r="P39" s="12"/>
      <c r="Q39" s="12"/>
      <c r="R39" s="12"/>
      <c r="S39" s="12"/>
      <c r="T39" s="12"/>
      <c r="U39" s="12"/>
      <c r="V39" s="12"/>
      <c r="W39" s="13"/>
    </row>
    <row r="40" spans="1:23" x14ac:dyDescent="0.35">
      <c r="A40" s="11"/>
      <c r="B40" s="12"/>
      <c r="C40" s="12"/>
      <c r="D40" s="12"/>
      <c r="E40" s="12"/>
      <c r="F40" s="12"/>
      <c r="G40" s="12"/>
      <c r="H40" s="12"/>
      <c r="I40" s="12"/>
      <c r="J40" s="12"/>
      <c r="K40" s="12"/>
      <c r="L40" s="12"/>
      <c r="M40" s="12"/>
      <c r="N40" s="12"/>
      <c r="O40" s="12"/>
      <c r="P40" s="12"/>
      <c r="Q40" s="12"/>
      <c r="R40" s="12"/>
      <c r="S40" s="12"/>
      <c r="T40" s="12"/>
      <c r="U40" s="12"/>
      <c r="V40" s="12"/>
      <c r="W40" s="13"/>
    </row>
    <row r="41" spans="1:23" x14ac:dyDescent="0.35">
      <c r="A41" s="11"/>
      <c r="B41" s="12"/>
      <c r="C41" s="12"/>
      <c r="D41" s="12"/>
      <c r="E41" s="12"/>
      <c r="F41" s="12"/>
      <c r="G41" s="12"/>
      <c r="H41" s="12"/>
      <c r="I41" s="12"/>
      <c r="J41" s="12"/>
      <c r="K41" s="12"/>
      <c r="L41" s="12"/>
      <c r="M41" s="12"/>
      <c r="N41" s="12"/>
      <c r="O41" s="12"/>
      <c r="P41" s="12"/>
      <c r="Q41" s="12"/>
      <c r="R41" s="12"/>
      <c r="S41" s="12"/>
      <c r="T41" s="12"/>
      <c r="U41" s="12"/>
      <c r="V41" s="12"/>
      <c r="W41" s="13"/>
    </row>
    <row r="42" spans="1:23" x14ac:dyDescent="0.35">
      <c r="A42" s="11"/>
      <c r="B42" s="12"/>
      <c r="C42" s="12"/>
      <c r="D42" s="12"/>
      <c r="E42" s="12"/>
      <c r="F42" s="12"/>
      <c r="G42" s="12"/>
      <c r="H42" s="12"/>
      <c r="I42" s="12"/>
      <c r="J42" s="12"/>
      <c r="K42" s="12"/>
      <c r="L42" s="12"/>
      <c r="M42" s="12"/>
      <c r="N42" s="12"/>
      <c r="O42" s="12"/>
      <c r="P42" s="12"/>
      <c r="Q42" s="12"/>
      <c r="R42" s="12"/>
      <c r="S42" s="12"/>
      <c r="T42" s="12"/>
      <c r="U42" s="12"/>
      <c r="V42" s="12"/>
      <c r="W42" s="13"/>
    </row>
    <row r="43" spans="1:23" x14ac:dyDescent="0.35">
      <c r="A43" s="11"/>
      <c r="B43" s="12"/>
      <c r="C43" s="12"/>
      <c r="D43" s="12"/>
      <c r="E43" s="12"/>
      <c r="F43" s="12"/>
      <c r="G43" s="12"/>
      <c r="H43" s="12"/>
      <c r="I43" s="12"/>
      <c r="J43" s="12"/>
      <c r="K43" s="12"/>
      <c r="L43" s="12"/>
      <c r="M43" s="12"/>
      <c r="N43" s="12"/>
      <c r="O43" s="12"/>
      <c r="P43" s="12"/>
      <c r="Q43" s="12"/>
      <c r="R43" s="12"/>
      <c r="S43" s="12"/>
      <c r="T43" s="12"/>
      <c r="U43" s="12"/>
      <c r="V43" s="12"/>
      <c r="W43" s="13"/>
    </row>
    <row r="44" spans="1:23" x14ac:dyDescent="0.35">
      <c r="A44" s="11"/>
      <c r="B44" s="12"/>
      <c r="C44" s="12"/>
      <c r="D44" s="12"/>
      <c r="E44" s="12"/>
      <c r="F44" s="12"/>
      <c r="G44" s="12"/>
      <c r="H44" s="12"/>
      <c r="I44" s="12"/>
      <c r="J44" s="12"/>
      <c r="K44" s="12"/>
      <c r="L44" s="12"/>
      <c r="M44" s="12"/>
      <c r="N44" s="12"/>
      <c r="O44" s="12"/>
      <c r="P44" s="12"/>
      <c r="Q44" s="12"/>
      <c r="R44" s="12"/>
      <c r="S44" s="12"/>
      <c r="T44" s="12"/>
      <c r="U44" s="12"/>
      <c r="V44" s="12"/>
      <c r="W44" s="13"/>
    </row>
    <row r="45" spans="1:23" x14ac:dyDescent="0.35">
      <c r="A45" s="11"/>
      <c r="B45" s="12"/>
      <c r="C45" s="12"/>
      <c r="D45" s="12"/>
      <c r="E45" s="12"/>
      <c r="F45" s="12"/>
      <c r="G45" s="12"/>
      <c r="H45" s="12"/>
      <c r="I45" s="12"/>
      <c r="J45" s="12"/>
      <c r="K45" s="12"/>
      <c r="L45" s="12"/>
      <c r="M45" s="12"/>
      <c r="N45" s="12"/>
      <c r="O45" s="12"/>
      <c r="P45" s="12"/>
      <c r="Q45" s="12"/>
      <c r="R45" s="12"/>
      <c r="S45" s="12"/>
      <c r="T45" s="12"/>
      <c r="U45" s="12"/>
      <c r="V45" s="12"/>
      <c r="W45" s="13"/>
    </row>
    <row r="46" spans="1:23" x14ac:dyDescent="0.35">
      <c r="A46" s="11"/>
      <c r="B46" s="12"/>
      <c r="C46" s="12"/>
      <c r="D46" s="12"/>
      <c r="E46" s="12"/>
      <c r="F46" s="12"/>
      <c r="G46" s="12"/>
      <c r="H46" s="12"/>
      <c r="I46" s="12"/>
      <c r="J46" s="12"/>
      <c r="K46" s="12"/>
      <c r="L46" s="12"/>
      <c r="M46" s="12"/>
      <c r="N46" s="12"/>
      <c r="O46" s="12"/>
      <c r="P46" s="12"/>
      <c r="Q46" s="12"/>
      <c r="R46" s="12"/>
      <c r="S46" s="12"/>
      <c r="T46" s="12"/>
      <c r="U46" s="12"/>
      <c r="V46" s="12"/>
      <c r="W46" s="13"/>
    </row>
    <row r="47" spans="1:23" x14ac:dyDescent="0.35">
      <c r="A47" s="11"/>
      <c r="B47" s="12"/>
      <c r="C47" s="12"/>
      <c r="D47" s="12"/>
      <c r="E47" s="12"/>
      <c r="F47" s="12"/>
      <c r="G47" s="12"/>
      <c r="H47" s="12"/>
      <c r="I47" s="12"/>
      <c r="J47" s="12"/>
      <c r="K47" s="12"/>
      <c r="L47" s="12"/>
      <c r="M47" s="12"/>
      <c r="N47" s="12"/>
      <c r="O47" s="12"/>
      <c r="P47" s="12"/>
      <c r="Q47" s="12"/>
      <c r="R47" s="12"/>
      <c r="S47" s="12"/>
      <c r="T47" s="12"/>
      <c r="U47" s="12"/>
      <c r="V47" s="12"/>
      <c r="W47" s="13"/>
    </row>
    <row r="48" spans="1:23" x14ac:dyDescent="0.35">
      <c r="A48" s="11"/>
      <c r="B48" s="12"/>
      <c r="C48" s="12"/>
      <c r="D48" s="12"/>
      <c r="E48" s="12"/>
      <c r="F48" s="12"/>
      <c r="G48" s="12"/>
      <c r="H48" s="12"/>
      <c r="I48" s="12"/>
      <c r="J48" s="12"/>
      <c r="K48" s="12"/>
      <c r="L48" s="12"/>
      <c r="M48" s="12"/>
      <c r="N48" s="12"/>
      <c r="O48" s="12"/>
      <c r="P48" s="12"/>
      <c r="Q48" s="12"/>
      <c r="R48" s="12"/>
      <c r="S48" s="12"/>
      <c r="T48" s="12"/>
      <c r="U48" s="12"/>
      <c r="V48" s="12"/>
      <c r="W48" s="13"/>
    </row>
    <row r="49" spans="1:23" x14ac:dyDescent="0.35">
      <c r="A49" s="11"/>
      <c r="B49" s="12"/>
      <c r="C49" s="12"/>
      <c r="D49" s="12"/>
      <c r="E49" s="12"/>
      <c r="F49" s="12"/>
      <c r="G49" s="12"/>
      <c r="H49" s="12"/>
      <c r="I49" s="12"/>
      <c r="J49" s="12"/>
      <c r="K49" s="12"/>
      <c r="L49" s="12"/>
      <c r="M49" s="12"/>
      <c r="N49" s="12"/>
      <c r="O49" s="12"/>
      <c r="P49" s="12"/>
      <c r="Q49" s="12"/>
      <c r="R49" s="12"/>
      <c r="S49" s="12"/>
      <c r="T49" s="12"/>
      <c r="U49" s="12"/>
      <c r="V49" s="12"/>
      <c r="W49" s="13"/>
    </row>
    <row r="50" spans="1:23" x14ac:dyDescent="0.35">
      <c r="A50" s="14"/>
      <c r="B50" s="15"/>
      <c r="C50" s="15"/>
      <c r="D50" s="15"/>
      <c r="E50" s="15"/>
      <c r="F50" s="15"/>
      <c r="G50" s="15"/>
      <c r="H50" s="15"/>
      <c r="I50" s="15"/>
      <c r="J50" s="15"/>
      <c r="K50" s="15"/>
      <c r="L50" s="15"/>
      <c r="M50" s="15"/>
      <c r="N50" s="15"/>
      <c r="O50" s="15"/>
      <c r="P50" s="15"/>
      <c r="Q50" s="15"/>
      <c r="R50" s="15"/>
      <c r="S50" s="15"/>
      <c r="T50" s="15"/>
      <c r="U50" s="15"/>
      <c r="V50" s="15"/>
      <c r="W50"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3E5D-213D-4708-89B7-0FEA7D740F73}">
  <dimension ref="A3:D6"/>
  <sheetViews>
    <sheetView workbookViewId="0">
      <selection activeCell="D15" sqref="D15"/>
    </sheetView>
  </sheetViews>
  <sheetFormatPr defaultRowHeight="14.5" x14ac:dyDescent="0.35"/>
  <cols>
    <col min="1" max="1" width="19.6328125" bestFit="1" customWidth="1"/>
    <col min="2" max="2" width="18.26953125" bestFit="1" customWidth="1"/>
    <col min="3" max="3" width="19.36328125" bestFit="1" customWidth="1"/>
    <col min="4" max="4" width="17.36328125" bestFit="1" customWidth="1"/>
  </cols>
  <sheetData>
    <row r="3" spans="1:4" x14ac:dyDescent="0.35">
      <c r="A3" t="s">
        <v>41</v>
      </c>
      <c r="B3" t="s">
        <v>44</v>
      </c>
      <c r="C3" t="s">
        <v>42</v>
      </c>
      <c r="D3" t="s">
        <v>43</v>
      </c>
    </row>
    <row r="4" spans="1:4" x14ac:dyDescent="0.35">
      <c r="A4" s="3">
        <v>39220000</v>
      </c>
      <c r="B4" s="17">
        <v>550</v>
      </c>
      <c r="C4" s="3">
        <v>47972491.360000014</v>
      </c>
      <c r="D4" s="2">
        <v>0.20835458284867325</v>
      </c>
    </row>
    <row r="6" spans="1:4" x14ac:dyDescent="0.35">
      <c r="A6" s="5">
        <f>GETPIVOTDATA("Sum of Total Invested ",$A$3)</f>
        <v>39220000</v>
      </c>
      <c r="B6">
        <f>GETPIVOTDATA("Count of Fund Name",$A$3)</f>
        <v>550</v>
      </c>
      <c r="C6" s="5">
        <f>GETPIVOTDATA("Sum of Current Value ",$A$3)</f>
        <v>47972491.360000014</v>
      </c>
      <c r="D6" s="2">
        <f>GETPIVOTDATA("Average of Returns ",$A$3)</f>
        <v>0.20835458284867325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05A3E-A576-43D9-B769-4376672C482A}">
  <dimension ref="A3:M22"/>
  <sheetViews>
    <sheetView zoomScale="85" zoomScaleNormal="85" workbookViewId="0">
      <selection activeCell="I20" sqref="I20"/>
    </sheetView>
  </sheetViews>
  <sheetFormatPr defaultRowHeight="14.5" x14ac:dyDescent="0.35"/>
  <cols>
    <col min="1" max="1" width="13.1796875" bestFit="1" customWidth="1"/>
    <col min="2" max="2" width="17.81640625" bestFit="1" customWidth="1"/>
    <col min="3" max="7" width="12.26953125" bestFit="1" customWidth="1"/>
    <col min="11" max="11" width="13.1796875" bestFit="1" customWidth="1"/>
    <col min="12" max="12" width="19.90625" bestFit="1" customWidth="1"/>
    <col min="13" max="13" width="19.54296875" bestFit="1" customWidth="1"/>
  </cols>
  <sheetData>
    <row r="3" spans="1:13" x14ac:dyDescent="0.35">
      <c r="A3" s="6" t="s">
        <v>45</v>
      </c>
      <c r="B3" t="s">
        <v>47</v>
      </c>
    </row>
    <row r="4" spans="1:13" x14ac:dyDescent="0.35">
      <c r="A4" s="7" t="s">
        <v>50</v>
      </c>
      <c r="B4" s="3">
        <v>244000</v>
      </c>
    </row>
    <row r="5" spans="1:13" x14ac:dyDescent="0.35">
      <c r="A5" s="7" t="s">
        <v>49</v>
      </c>
      <c r="B5" s="3">
        <v>240500</v>
      </c>
      <c r="K5" s="6" t="s">
        <v>45</v>
      </c>
      <c r="L5" t="s">
        <v>41</v>
      </c>
      <c r="M5" t="s">
        <v>42</v>
      </c>
    </row>
    <row r="6" spans="1:13" x14ac:dyDescent="0.35">
      <c r="A6" s="7" t="s">
        <v>51</v>
      </c>
      <c r="B6" s="3">
        <v>226500</v>
      </c>
      <c r="K6" s="7" t="s">
        <v>21</v>
      </c>
      <c r="L6" s="3">
        <v>3962500</v>
      </c>
      <c r="M6" s="3">
        <v>4604427.9799999995</v>
      </c>
    </row>
    <row r="7" spans="1:13" x14ac:dyDescent="0.35">
      <c r="A7" s="7" t="s">
        <v>48</v>
      </c>
      <c r="B7" s="3">
        <v>195500</v>
      </c>
      <c r="K7" s="7" t="s">
        <v>23</v>
      </c>
      <c r="L7" s="3">
        <v>4627000</v>
      </c>
      <c r="M7" s="3">
        <v>5910039.4399999985</v>
      </c>
    </row>
    <row r="8" spans="1:13" x14ac:dyDescent="0.35">
      <c r="A8" s="7" t="s">
        <v>52</v>
      </c>
      <c r="B8" s="3">
        <v>22500</v>
      </c>
      <c r="K8" s="7" t="s">
        <v>28</v>
      </c>
      <c r="L8" s="3">
        <v>4217000</v>
      </c>
      <c r="M8" s="3">
        <v>5026802.4500000011</v>
      </c>
    </row>
    <row r="9" spans="1:13" x14ac:dyDescent="0.35">
      <c r="A9" s="7" t="s">
        <v>46</v>
      </c>
      <c r="B9" s="3">
        <v>929000</v>
      </c>
      <c r="K9" s="7" t="s">
        <v>27</v>
      </c>
      <c r="L9" s="3">
        <v>4097500</v>
      </c>
      <c r="M9" s="3">
        <v>4883134.2799999993</v>
      </c>
    </row>
    <row r="10" spans="1:13" x14ac:dyDescent="0.35">
      <c r="K10" s="7" t="s">
        <v>22</v>
      </c>
      <c r="L10" s="3">
        <v>3317000</v>
      </c>
      <c r="M10" s="3">
        <v>4140725.11</v>
      </c>
    </row>
    <row r="11" spans="1:13" x14ac:dyDescent="0.35">
      <c r="K11" s="7" t="s">
        <v>30</v>
      </c>
      <c r="L11" s="3">
        <v>4017000</v>
      </c>
      <c r="M11" s="3">
        <v>5077763.370000001</v>
      </c>
    </row>
    <row r="12" spans="1:13" x14ac:dyDescent="0.35">
      <c r="K12" s="7" t="s">
        <v>26</v>
      </c>
      <c r="L12" s="3">
        <v>4255500</v>
      </c>
      <c r="M12" s="3">
        <v>5084866.4399999995</v>
      </c>
    </row>
    <row r="13" spans="1:13" x14ac:dyDescent="0.35">
      <c r="K13" s="7" t="s">
        <v>24</v>
      </c>
      <c r="L13" s="3">
        <v>4036000</v>
      </c>
      <c r="M13" s="3">
        <v>5035604.08</v>
      </c>
    </row>
    <row r="14" spans="1:13" x14ac:dyDescent="0.35">
      <c r="K14" s="7" t="s">
        <v>46</v>
      </c>
      <c r="L14" s="3">
        <v>32529500</v>
      </c>
      <c r="M14" s="3">
        <v>39763363.149999999</v>
      </c>
    </row>
    <row r="16" spans="1:13" x14ac:dyDescent="0.35">
      <c r="A16" s="6" t="s">
        <v>45</v>
      </c>
      <c r="B16" t="s">
        <v>43</v>
      </c>
    </row>
    <row r="17" spans="1:2" x14ac:dyDescent="0.35">
      <c r="A17" s="7" t="s">
        <v>19</v>
      </c>
      <c r="B17" s="2">
        <v>0.20863621167202759</v>
      </c>
    </row>
    <row r="18" spans="1:2" x14ac:dyDescent="0.35">
      <c r="A18" s="7" t="s">
        <v>20</v>
      </c>
      <c r="B18" s="2">
        <v>0.1859512586464403</v>
      </c>
    </row>
    <row r="19" spans="1:2" x14ac:dyDescent="0.35">
      <c r="A19" s="7" t="s">
        <v>17</v>
      </c>
      <c r="B19" s="2">
        <v>0.22259963587061449</v>
      </c>
    </row>
    <row r="20" spans="1:2" x14ac:dyDescent="0.35">
      <c r="A20" s="7" t="s">
        <v>18</v>
      </c>
      <c r="B20" s="2">
        <v>0.24238002248624108</v>
      </c>
    </row>
    <row r="21" spans="1:2" x14ac:dyDescent="0.35">
      <c r="A21" s="7" t="s">
        <v>16</v>
      </c>
      <c r="B21" s="2">
        <v>0.18223024661741333</v>
      </c>
    </row>
    <row r="22" spans="1:2" x14ac:dyDescent="0.35">
      <c r="A22" s="7" t="s">
        <v>46</v>
      </c>
      <c r="B22" s="2">
        <v>0.20835458284867331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8A47-0120-4EF2-9793-3878154834AC}">
  <dimension ref="A3:B22"/>
  <sheetViews>
    <sheetView topLeftCell="A7" workbookViewId="0">
      <selection activeCell="X23" sqref="X23"/>
    </sheetView>
  </sheetViews>
  <sheetFormatPr defaultRowHeight="14.5" x14ac:dyDescent="0.35"/>
  <cols>
    <col min="1" max="1" width="12.36328125" bestFit="1" customWidth="1"/>
    <col min="2" max="3" width="19.36328125" bestFit="1" customWidth="1"/>
  </cols>
  <sheetData>
    <row r="3" spans="1:2" x14ac:dyDescent="0.35">
      <c r="A3" s="6" t="s">
        <v>45</v>
      </c>
      <c r="B3" t="s">
        <v>41</v>
      </c>
    </row>
    <row r="4" spans="1:2" x14ac:dyDescent="0.35">
      <c r="A4" s="7" t="s">
        <v>19</v>
      </c>
      <c r="B4" s="3">
        <v>8838000</v>
      </c>
    </row>
    <row r="5" spans="1:2" x14ac:dyDescent="0.35">
      <c r="A5" s="7" t="s">
        <v>20</v>
      </c>
      <c r="B5" s="3">
        <v>6937000</v>
      </c>
    </row>
    <row r="6" spans="1:2" x14ac:dyDescent="0.35">
      <c r="A6" s="7" t="s">
        <v>17</v>
      </c>
      <c r="B6" s="3">
        <v>7899500</v>
      </c>
    </row>
    <row r="7" spans="1:2" x14ac:dyDescent="0.35">
      <c r="A7" s="7" t="s">
        <v>18</v>
      </c>
      <c r="B7" s="3">
        <v>7806000</v>
      </c>
    </row>
    <row r="8" spans="1:2" x14ac:dyDescent="0.35">
      <c r="A8" s="7" t="s">
        <v>16</v>
      </c>
      <c r="B8" s="3">
        <v>7739500</v>
      </c>
    </row>
    <row r="9" spans="1:2" x14ac:dyDescent="0.35">
      <c r="A9" s="7" t="s">
        <v>46</v>
      </c>
      <c r="B9" s="3">
        <v>39220000</v>
      </c>
    </row>
    <row r="15" spans="1:2" x14ac:dyDescent="0.35">
      <c r="A15" s="6" t="s">
        <v>45</v>
      </c>
      <c r="B15" t="s">
        <v>42</v>
      </c>
    </row>
    <row r="16" spans="1:2" x14ac:dyDescent="0.35">
      <c r="A16" s="7" t="s">
        <v>34</v>
      </c>
      <c r="B16" s="3">
        <v>6899206.5399999982</v>
      </c>
    </row>
    <row r="17" spans="1:2" x14ac:dyDescent="0.35">
      <c r="A17" s="7" t="s">
        <v>36</v>
      </c>
      <c r="B17" s="3">
        <v>8233584.7599999979</v>
      </c>
    </row>
    <row r="18" spans="1:2" x14ac:dyDescent="0.35">
      <c r="A18" s="7" t="s">
        <v>31</v>
      </c>
      <c r="B18" s="3">
        <v>7471380.3999999994</v>
      </c>
    </row>
    <row r="19" spans="1:2" x14ac:dyDescent="0.35">
      <c r="A19" s="7" t="s">
        <v>33</v>
      </c>
      <c r="B19" s="3">
        <v>7883393.5999999978</v>
      </c>
    </row>
    <row r="20" spans="1:2" x14ac:dyDescent="0.35">
      <c r="A20" s="7" t="s">
        <v>32</v>
      </c>
      <c r="B20" s="3">
        <v>8833697.2300000004</v>
      </c>
    </row>
    <row r="21" spans="1:2" x14ac:dyDescent="0.35">
      <c r="A21" s="7" t="s">
        <v>35</v>
      </c>
      <c r="B21" s="3">
        <v>8651228.8299999963</v>
      </c>
    </row>
    <row r="22" spans="1:2" x14ac:dyDescent="0.35">
      <c r="A22" s="7" t="s">
        <v>46</v>
      </c>
      <c r="B22" s="3">
        <v>47972491.359999992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Sheet_design</vt:lpstr>
      <vt:lpstr>DASHBOARD</vt:lpstr>
      <vt:lpstr>Sheet4</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 Kirange</dc:creator>
  <cp:lastModifiedBy>JAYESH KIRANGE</cp:lastModifiedBy>
  <dcterms:created xsi:type="dcterms:W3CDTF">2025-08-05T11:30:53Z</dcterms:created>
  <dcterms:modified xsi:type="dcterms:W3CDTF">2026-01-03T04:02:11Z</dcterms:modified>
</cp:coreProperties>
</file>